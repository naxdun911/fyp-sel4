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MP Scaling" sheetId="1" state="visible" r:id="rId3"/>
    <sheet name="SMP Scaling (RPi4B)" sheetId="2" state="visible" r:id="rId4"/>
    <sheet name="SMP Scaling (RPi4B pinned)" sheetId="3" state="visible" r:id="rId5"/>
    <sheet name="SMP Scaling (RPi4B cross-core)" sheetId="4" state="visible" r:id="rId6"/>
    <sheet name="Same vs Cross Core" sheetId="5" state="visible" r:id="rId7"/>
    <sheet name="No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<sst xmlns="http://schemas.openxmlformats.org/spreadsheetml/2006/main" count="140" uniqueCount="111">
  <si>
    <t xml:space="preserve">seL4 SMP Benchmark - IPC Throughput Scaling (QEMU TCG, qemu-arm-virt AArch64)</t>
  </si>
  <si>
    <t xml:space="preserve">Source: ~/fyp-results/smp_arm_tmr_run1.log (build_smp_tmr, 2026-10-14). Value measured = IPC per second, higher is better. Each pair is core-local (ping and pong both pinned to the same core). RUNS=10, SAMPLE_TIME=100 ms.</t>
  </si>
  <si>
    <t xml:space="preserve">Delay (cycles)</t>
  </si>
  <si>
    <t xml:space="preserve">Cores</t>
  </si>
  <si>
    <t xml:space="preserve">Mean (IPC/s)</t>
  </si>
  <si>
    <t xml:space="preserve">Stddev</t>
  </si>
  <si>
    <t xml:space="preserve">Stddev % of mean</t>
  </si>
  <si>
    <t xml:space="preserve">Ideal linear (IPC/s)</t>
  </si>
  <si>
    <t xml:space="preserve">Efficiency vs ideal</t>
  </si>
  <si>
    <t xml:space="preserve">Ideal linear = the 1-core mean for that delay multiplied by the core count. Efficiency = measured mean / ideal linear. Perfect scaling would be 100%.</t>
  </si>
  <si>
    <t xml:space="preserve">seL4 SMP Benchmark - IPC Throughput Scaling (Raspberry Pi 4 Model B, 8GB, BCM2711 hardware)</t>
  </si>
  <si>
    <t xml:space="preserve">Source: ~/fyp-results/run01..run05 (build_rpi4, 2026-10-14). Value measured = IPC per second, higher is better. Each pair is core-local (ping and pong both pinned to the same core). RUNS=10, SAMPLE_TIME=100 ms. Mean column is the mean of five full power-cycle runs.</t>
  </si>
  <si>
    <t xml:space="preserve">Stddev (across runs)</t>
  </si>
  <si>
    <t xml:space="preserve">Ideal linear = the 1-core mean for that delay multiplied by the core count. Efficiency = measured mean / ideal linear. Perfect scaling would be 100%. Note the 500-cycle block: 4 cores delivers lower absolute throughput than 3 cores (1,271,860 against 1,401,042), a regression reproduced in 5 of 5 runs. Stddev here is between the five run means, not within a single run as on the QEMU sheet.</t>
  </si>
  <si>
    <t xml:space="preserve">seL4 SMP Benchmark - IPC Throughput Scaling (Raspberry Pi 4 Model B, 8GB, BCM2711 hardware, ARM clock pinned)</t>
  </si>
  <si>
    <t xml:space="preserve">Source: ~/fyp-results/zero0*.log (build_rpi4, 2026-10-21). Value measured = IPC per second, higher is better. Each pair is core-local (ping and pong both pinned to the same core). RUNS=10, SAMPLE_TIME=100 ms. Mean column is the mean of 7 valid full power-cycle runs. force_turbo=1 in config.txt. A delay of 0 cycles means back-to-back IPC.</t>
  </si>
  <si>
    <t xml:space="preserve">Ideal linear = the 1-core mean for that delay multiplied by the core count. Efficiency = measured mean / ideal linear. Perfect scaling would be 100%. At 0 cycles throughput peaks at 2 cores (1,423,022) and falls at 3 and 4 cores (1,331,568 and 1,274,273); 3 cores slower than 2 and 4 cores slower than 3 in 7 of 7 runs. At 500 cycles 4 cores is slower than 3 in 7 of 7 runs. 4 cores gives about the same throughput at 0 and 500 cycles (1,274,273 and 1,270,687), consistent with a serialisation ceiling near 1.27M IPC/s. Stddev is between the seven run means, not within a single run as on the QEMU sheet.</t>
  </si>
  <si>
    <t xml:space="preserve">seL4 SMP Benchmark - IPC Throughput Scaling, Cross-Core Pairs (Raspberry Pi 4 Model B, 8GB, BCM2711 hardware, ARM clock pinned)</t>
  </si>
  <si>
    <t xml:space="preserve">Source: ~/fyp-results/cross0*.log (build_rpi4, 2026-10-22). Value measured = IPC per second, higher is better. In each pair the ping thread is pinned to core i and the pong thread to core (i+2) mod 4, so every IPC crosses cores (PONG_CORE_OFFSET 2 in apps/smp/src/main.c). The Cores column counts pairs. RUNS=10, SAMPLE_TIME=100 ms. Mean column is the mean of 6 valid runs. force_turbo=1 in config.txt. A delay of 0 cycles means back-to-back IPC.</t>
  </si>
  <si>
    <t xml:space="preserve">Ideal linear = the 1-pair mean for that delay multiplied by the pair count. Efficiency = measured mean / ideal linear. Throughput rose with every added pair at every delay in 6 of 6 runs, so the same-core drop at 3 and 4 cores does not appear here. At 0 cycles the total only rises from 464,257 to 491,373 IPC/s between 2 and 4 pairs (442,512 to 494,807 at 500 cycles). With 2 pairs each core runs one thread; 3 and 4 pairs put two threads on some or all cores, so those rows are not the same workload as the same-core 3 and 4 core rows. Stddev is between the six run means. The 4000-cycle rows vary more across runs (stddev 1.5 to 2.1% of the mean for 2 to 4 pairs) than the same-core campaign (under 0.02%); the cause was not investigated.</t>
  </si>
  <si>
    <t xml:space="preserve">seL4 SMP Benchmark - Same-Core vs Cross-Core IPC (Raspberry Pi 4 Model B, 8GB, ARM clock pinned)</t>
  </si>
  <si>
    <t xml:space="preserve">Same-core = ping and pong on one core (7 runs, sheet 'SMP Scaling (RPi4B pinned)'). Cross-core = ping and pong on different cores (6 runs, sheet 'SMP Scaling (RPi4B cross-core)'). Both use the same kernel build, force_turbo=1, RUNS=10 and SAMPLE_TIME=100 ms. All values are linked to those two sheets. Pairs = number of ping/pong pairs.</t>
  </si>
  <si>
    <t xml:space="preserve">Pairs</t>
  </si>
  <si>
    <t xml:space="preserve">Same-core mean (IPC/s)</t>
  </si>
  <si>
    <t xml:space="preserve">Cross-core mean (IPC/s)</t>
  </si>
  <si>
    <t xml:space="preserve">Cross-core as % of same-core</t>
  </si>
  <si>
    <t xml:space="preserve">Same-core / cross-core</t>
  </si>
  <si>
    <t xml:space="preserve">Same-core efficiency</t>
  </si>
  <si>
    <t xml:space="preserve">Cross-core efficiency</t>
  </si>
  <si>
    <t xml:space="preserve">Same-core / cross-core above 1.00x means the same-core pair is faster. The 1-pair rows are the clean per-IPC comparison. The 2-pair cross-core row has one thread per core. The 3 and 4 pair cross-core rows put two threads on some or all cores, so compare them with the same-core rows with that in mind.</t>
  </si>
  <si>
    <t xml:space="preserve">Derived cost per ping/pong round trip, 1 pair</t>
  </si>
  <si>
    <t xml:space="preserve">Assumed ARM clock (Hz)</t>
  </si>
  <si>
    <t xml:space="preserve">Same-core cycles per round trip</t>
  </si>
  <si>
    <t xml:space="preserve">Cross-core cycles per round trip</t>
  </si>
  <si>
    <t xml:space="preserve">Same-core overhead (cycles)</t>
  </si>
  <si>
    <t xml:space="preserve">Cross-core overhead (cycles)</t>
  </si>
  <si>
    <t xml:space="preserve">Extra cost of crossing cores (cycles)</t>
  </si>
  <si>
    <t xml:space="preserve">Cycles per round trip = clock / mean IPC per second. Overhead = that minus 2 x delay, because both the ping and the pong thread busy-wait for the delay once per round trip. The 1.5 GHz clock is an assumption (nominal Cortex-A72 maximum with force_turbo=1); it is also what makes the same-core 4000 and 32000 cycle overheads agree (about 1,478 cycles). The overhead is roughly constant across delays for each case, about 1,480 same-core and 4,200 cross-core. The 0-cycle same-core figure is about 25 cycles lower than at the other delays; the cause was not determined. This is a derived estimate, not a direct measurement, and it does not identify why crossing cores costs more.</t>
  </si>
  <si>
    <t xml:space="preserve">Provenance and caveats</t>
  </si>
  <si>
    <t xml:space="preserve">Platform</t>
  </si>
  <si>
    <t xml:space="preserve">qemu-arm-virt, AArch64, cortex-a53, QEMU TCG emulation (no KVM), -smp 4, 1024 MB</t>
  </si>
  <si>
    <t xml:space="preserve">Build directory</t>
  </si>
  <si>
    <t xml:space="preserve">~/sel4bench-arm/build_smp_tmr</t>
  </si>
  <si>
    <t xml:space="preserve">Config flags</t>
  </si>
  <si>
    <t xml:space="preserve">-DPLATFORM=qemu-arm-virt -DAARCH64=TRUE -DARM_HYP=TRUE -DSMP=TRUE -DIRQUSER=OFF -DSCHED=OFF -DSIGNAL=OFF -DMAPPING=OFF -DSYNC=OFF -DAllowUnstableOverhead=ON -DKernelArmExportPCNTUser=ON -DKernelArmExportPTMRUser=ON</t>
  </si>
  <si>
    <t xml:space="preserve">KernelMaxNumNodes</t>
  </si>
  <si>
    <t xml:space="preserve">4</t>
  </si>
  <si>
    <t xml:space="preserve">Why ARM_HYP=TRUE</t>
  </si>
  <si>
    <t xml:space="preserve">Without it QEMU dumps a DTB with PSCI method = hvc, and the elfloader refuses HVC when MAX_NUM_NODES &gt; 1 (smp-psci.c), so secondary cores never boot. ARM_HYP makes CMake pass virtualization=on, which yields method = smc.</t>
  </si>
  <si>
    <t xml:space="preserve">Why AllowUnstableOverhead=ON</t>
  </si>
  <si>
    <t xml:space="preserve">The IPC benchmark aborts when its overhead calibration samples are not identical; TCG timing jitter prevents that.</t>
  </si>
  <si>
    <t xml:space="preserve">Why SIMULATION was omitted</t>
  </si>
  <si>
    <t xml:space="preserve">libplatsupport/CMakeLists.txt sets LibPlatSupportHaveTimer=OFF when (SIMULATION AND KernelArchARM), and the SMP benchmark needs an ltimer. Omitting SIMULATION and exporting PCNT/PTMR satisfies both clauses. Upstream disables this deliberately because TCG timing is not real.</t>
  </si>
  <si>
    <t xml:space="preserve">Benchmarks enabled</t>
  </si>
  <si>
    <t xml:space="preserve">AppIpcBench, AppSmpBench only (irquser faulted and was disabled)</t>
  </si>
  <si>
    <t xml:space="preserve">VALIDITY WARNING</t>
  </si>
  <si>
    <t xml:space="preserve">These numbers come from TCG emulation, which time-slices guest cores onto host threads and models neither cache-line behaviour nor real memory latency. They demonstrate that the benchmark harness runs end to end. They are NOT evidence about Big Kernel Lock contention and must not be used as results. The non-monotonic 500-cycle row (1 core slowest, 2 cores fastest) is a symptom of this. Real 1 vs 2 vs 4 core figures must come from hardware (Raspberry Pi).</t>
  </si>
  <si>
    <t xml:space="preserve">x86 baseline for comparison</t>
  </si>
  <si>
    <t xml:space="preserve">seL4_Call different vspace, 0 words: mean 715 cycles (sd 37) under KVM, 1 core, fastpath on. The AArch64 TCG IPC run showed sd 1376 on a mean of 2533, which is emulation jitter, not kernel behaviour.</t>
  </si>
  <si>
    <t xml:space="preserve">Hardware run (Raspberry Pi 4B)</t>
  </si>
  <si>
    <t xml:space="preserve">Raspberry Pi 4 Model B, 8GB, BCM2711, 4x Cortex-A72 r0p3, GIC-400. Passive heatsink, no fan.</t>
  </si>
  <si>
    <t xml:space="preserve">~/sel4bench-arm/build_rpi4</t>
  </si>
  <si>
    <t xml:space="preserve">-DPLATFORM=rpi4 -DAARCH64=TRUE -DSMP=TRUE -DRPI4_MEMORY=8192 -DKernelArmExportPCNTUser=ON -DKernelArmExportPTMRUser=ON -DIRQUSER=OFF -DSCHED=OFF -DSIGNAL=OFF -DMAPPING=OFF -DSYNC=OFF -DElfloaderImage=elf</t>
  </si>
  <si>
    <t xml:space="preserve">4 (CONFIG_MAX_NUM_NODES=4, CONFIG_ENABLE_SMP_SUPPORT=1, both verified in gen_config.h)</t>
  </si>
  <si>
    <t xml:space="preserve">Why ARM_HYP was dropped</t>
  </si>
  <si>
    <t xml:space="preserve">The RPi4 releases secondary cores through a spin table, not PSCI, so the HVC refusal that forced ARM_HYP on QEMU does not arise. Cores 1-3 confirmed up in every run via the elfloader's 'Core N is up' lines.</t>
  </si>
  <si>
    <t xml:space="preserve">Why AllowUnstableOverhead was dropped</t>
  </si>
  <si>
    <t xml:space="preserve">Real silicon calibrates consistently. Several IPC microbenchmarks report stddev 0.0 with all 16 samples identical, so the flag is unnecessary and suppressing a genuine calibration failure would contaminate the overhead subtraction.</t>
  </si>
  <si>
    <t xml:space="preserve">Boot method</t>
  </si>
  <si>
    <t xml:space="preserve">RPi firmware (start4.elf, fixup4.dat, bcm2711-rpi-4-b.dtb) chainloads U-Boot 2024.01. config.txt: arm_64bit=1, enable_uart=1, enable_gic=1, kernel=u-boot.bin, device_tree=bcm2711-rpi-4-b.dtb. U-Boot: fatload mmc 0 0x30000000 &lt;image&gt;; bootelf 0x30000000 (staged high because the ELF links at 0x10000000 and would otherwise overwrite its own headers during the parse).</t>
  </si>
  <si>
    <t xml:space="preserve">AppIpcBench, AppSmpBench only</t>
  </si>
  <si>
    <t xml:space="preserve">Repeatability</t>
  </si>
  <si>
    <t xml:space="preserve">5 full power cycles, logged separately via picocom -g. Worst between-run spread anywhere is 0.78%; most rows are under 0.05%. The 129,182 IPC/s gap between 3 and 4 cores at 500 cycles is roughly 63 standard deviations wide.</t>
  </si>
  <si>
    <t xml:space="preserve">CLOCK CAVEAT</t>
  </si>
  <si>
    <t xml:space="preserve">The ARM clock was not pinned. An earlier manual run measured exactly 2.5x lower on every configuration, consistent with the 600 MHz idle and 1500 MHz boost frequencies. Absolute IPC/s is therefore not comparable across boots. Efficiency is a within-run ratio and is unaffected, so the scaling conclusions stand. Add force_turbo=1 to config.txt before the next campaign.</t>
  </si>
  <si>
    <t xml:space="preserve">Open issue</t>
  </si>
  <si>
    <t xml:space="preserve">Every run prints 'Range for vaddr 0x10001000 with 1 4k pages not reserved! Mapping new pages to extend brk region failed' before the benchmarks. Both benchmarks complete regardless. Unexplained as of this writing.</t>
  </si>
  <si>
    <t xml:space="preserve">Not an error</t>
  </si>
  <si>
    <t xml:space="preserve">The repeated 'Failed to allocate object of size N' lines at startup are a halving probe for the largest available untyped object, not a fault.</t>
  </si>
  <si>
    <t xml:space="preserve">Result vs QEMU</t>
  </si>
  <si>
    <t xml:space="preserve">TCG gave 21% / 31% / 71% efficiency at 4 cores for 500 / 4000 / 32000 cycles. Hardware gives 52% / 97% / 100%. TCG was wrong in magnitude and in shape; its figures are retained on the first sheet only to document that they are unusable.</t>
  </si>
  <si>
    <t xml:space="preserve">Hardware run 2 (RPi4B, pinned clock, 0-cycle delay added)</t>
  </si>
  <si>
    <t xml:space="preserve">What changed</t>
  </si>
  <si>
    <t xml:space="preserve">Same build_rpi4 image type and flags as the first hardware run. Added a fourth row to the delay table in projects/sel4bench/libsel4benchsupport/include/smp.h: { .name = "0 cycles", .delay = 0.00000 } (original saved as smp.h.orig). Rebuilt with ninja only, no reconfigure. Appended force_turbo=1 to config.txt.</t>
  </si>
  <si>
    <t xml:space="preserve">Why 0 cycles is valid</t>
  </si>
  <si>
    <t xml:space="preserve">The delay is a busy-wait do/while loop on the cycle counter run by both the ping and pong threads (ipc_normal_delay in apps/smp/src/main.c). With a delay of 0 the loop body executes once, so IPCs run back to back. This is the maximum-rate case, not literally zero work per IPC.</t>
  </si>
  <si>
    <t xml:space="preserve">Runs</t>
  </si>
  <si>
    <t xml:space="preserve">7 valid full power-cycle runs: zero01, zero02, zero03, zero05, zero06, and two logs both named zero04 (timestamps 210536 and 211730). A third zero04 log (210519) is empty and excluded: picocom was closed during that attempt, so it captured nothing. No failed boots or hangs were reported.</t>
  </si>
  <si>
    <t xml:space="preserve">Clock check</t>
  </si>
  <si>
    <t xml:space="preserve">With force_turbo=1 the 1-core means match the first hardware campaign: 605,611 against 605,712 at 500 cycles, 158,257 against 158,258 at 4000, 22,909 against 22,909 at 32000. The 4000 and 32000 rows scale at 97% and 99.6% at 4 cores, so there was no thermal throttling despite no fan. The clock caveat on the first hardware run is resolved for this campaign.</t>
  </si>
  <si>
    <t xml:space="preserve">0-cycle result</t>
  </si>
  <si>
    <t xml:space="preserve">Efficiency at 4 cores is 30.8% of linear. Total throughput at 4 cores is only 1.23 times a single core and about 10.5% below the 2-core peak. At 3 cores, 0 cycles gives about 4.8% less throughput than 500 cycles, so offering more load lowers throughput.</t>
  </si>
  <si>
    <t xml:space="preserve">Interpretation limit</t>
  </si>
  <si>
    <t xml:space="preserve">The pattern is consistent with Big Kernel Lock contention but does not isolate the BKL from other shared-state contention. The fastpath locking change is the experiment that does.</t>
  </si>
  <si>
    <t xml:space="preserve">Noisiest row</t>
  </si>
  <si>
    <t xml:space="preserve">2 cores at 0 cycles is the noisiest row: stddev 9,128 IPC/s (0.64% of the mean), and a max-minus-min spread of 2.07% of the mean across the 7 runs. The drop from 2 to 3 cores (about 91,454 IPC/s) is still roughly 10 times that stddev.</t>
  </si>
  <si>
    <t xml:space="preserve">Open issue (carried over)</t>
  </si>
  <si>
    <t xml:space="preserve">The brk-region warning seen at startup in the first campaign has not been investigated, and was not re-checked in these logs.</t>
  </si>
  <si>
    <t xml:space="preserve">Hardware run 3 (RPi4B, pinned clock, cross-core pairs)</t>
  </si>
  <si>
    <t xml:space="preserve">Same build_rpi4 configuration as the pinned campaign. In projects/sel4bench/apps/smp/src/main.c added #define PONG_CORE_OFFSET 2 and pinned the pong thread of pair i to core (i + PONG_CORE_OFFSET) % nr_cores (original saved as main.c.orig). Setting the offset to 0 restores same-core pairs. Rebuilt with ninja only. Both images are kept in ~/fyp-results/images.</t>
  </si>
  <si>
    <t xml:space="preserve">Thread layout</t>
  </si>
  <si>
    <t xml:space="preserve">1 pair uses cores 0 and 2. 2 pairs use all four cores with one thread each. 3 pairs put two threads on cores 0 and 2; 4 pairs put two threads on every core. The Cores column counts pairs, so the 3 and 4 pair rows are a different workload from the same-core rows.</t>
  </si>
  <si>
    <t xml:space="preserve">6 valid runs: cross01_082313, cross02_082403, cross02_083322, cross03_082454, cross04_082554 and cross05_082649. Each is taken as a separate power cycle. Two cross01 logs (082225 and 082249) are 0 bytes, with no serial output at all, and are excluded. No hangs or failed boots were reported.</t>
  </si>
  <si>
    <t xml:space="preserve">1-pair result</t>
  </si>
  <si>
    <t xml:space="preserve">One cross-core pair is slower than one same-core pair by 2.90x at 0 cycles, 2.10x at 500, 1.29x at 4000 and 1.04x at 32000. The gap is a roughly constant cost per round trip (about 2,700 extra cycles on an assumed 1.5 GHz clock), so it matters most when the delay is short.</t>
  </si>
  <si>
    <t xml:space="preserve">Scaling result</t>
  </si>
  <si>
    <t xml:space="preserve">Cross-core throughput rose with every added pair at every delay in 6 of 6 runs. At 0 and 500 cycles it stays between 0.47M and 0.49M IPC/s from 3 pairs, about 2.6x below the same-core 4-core figures (1.27M). At 4000 and 32000 cycles cross-core efficiency at 4 pairs is 83.4% and 97.4%, against 97.1% and 99.6% same-core.</t>
  </si>
  <si>
    <t xml:space="preserve">Variability</t>
  </si>
  <si>
    <t xml:space="preserve">Cross-core 2 to 4 pair rows at 4000 cycles have a stddev of 1.5 to 2.1% of the mean across runs, against under 0.02% for the same-core campaign. Cause not investigated.</t>
  </si>
  <si>
    <t xml:space="preserve">Unverified</t>
  </si>
  <si>
    <t xml:space="preserve">The explanation that cross-core IPC takes the slowpath and needs inter-processor interrupts, because the fastpath requires both threads on the same core, comes from my reading of the design and has not been checked in kernel/src/fastpath/fastpath.c. The data show a higher cost per IPC, not its cause. Build type (release or debug, MCS or not) is also unconfirmed.</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</si>
</sst>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0%"/>
    <numFmt numFmtId="169" formatCode="0.00\x"/>
  </numFmts>
  <fonts count="8">
    <font>
      <sz val="11"/>
      <color theme="1"/>
      <name val="Calibri"/>
      <family val="2"/>
      <charset val="1"/>
    </font>
    <font>
      <sz val="10"/>
      <name val="Arial"/>
      <family val="0"/>
    </font>
    <font>
      <sz val="10"/>
      <name val="Arial"/>
      <family val="0"/>
    </font>
    <font>
      <sz val="10"/>
      <name val="Arial"/>
      <family val="0"/>
    </font>
    <font>
      <b val="true"/>
      <sz val="12"/>
      <name val="Times New Roman"/>
      <family val="0"/>
      <charset val="1"/>
    </font>
    <font>
      <i val="true"/>
      <sz val="9"/>
      <name val="Times New Roman"/>
      <family val="0"/>
      <charset val="1"/>
    </font>
    <font>
      <b val="true"/>
      <sz val="10"/>
      <name val="Times New Roman"/>
      <family val="0"/>
      <charset val="1"/>
    </font>
    <font>
      <sz val="10"/>
      <name val="Times New Roman"/>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8"/>
    <col collapsed="false" customWidth="true" hidden="false" outlineLevel="0" max="3" min="3" style="1" width="14"/>
    <col collapsed="false" customWidth="true" hidden="false" outlineLevel="0" max="4" min="4" style="1" width="12"/>
    <col collapsed="false" customWidth="true" hidden="false" outlineLevel="0" max="5" min="5" style="1" width="14"/>
    <col collapsed="false" customWidth="true" hidden="false" outlineLevel="0" max="6" min="6" style="1" width="18"/>
    <col collapsed="false" customWidth="true" hidden="false" outlineLevel="0" max="7" min="7" style="1" width="16"/>
  </cols>
  <sheetData>
    <row r="1" customFormat="false" ht="15" hidden="false" customHeight="true" outlineLevel="0" collapsed="false">
      <c r="A1" s="2" t="s">
        <v>0</v>
      </c>
    </row>
    <row r="2" customFormat="false" ht="42" hidden="false" customHeight="true" outlineLevel="0" collapsed="false">
      <c r="A2" s="3" t="s">
        <v>1</v>
      </c>
      <c r="B2" s="3"/>
      <c r="C2" s="3"/>
      <c r="D2" s="3"/>
      <c r="E2" s="3"/>
      <c r="F2" s="3"/>
    </row>
    <row r="4" customFormat="false" ht="23.25" hidden="false" customHeight="true" outlineLevel="0" collapsed="false">
      <c r="A4" s="4" t="s">
        <v>2</v>
      </c>
      <c r="B4" s="4" t="s">
        <v>3</v>
      </c>
      <c r="C4" s="4" t="s">
        <v>4</v>
      </c>
      <c r="D4" s="4" t="s">
        <v>5</v>
      </c>
      <c r="E4" s="4" t="s">
        <v>6</v>
      </c>
      <c r="F4" s="4" t="s">
        <v>7</v>
      </c>
      <c r="G4" s="4" t="s">
        <v>8</v>
      </c>
    </row>
    <row r="5" customFormat="false" ht="15" hidden="false" customHeight="true" outlineLevel="0" collapsed="false">
      <c r="A5" s="5" t="n">
        <v>500</v>
      </c>
      <c r="B5" s="6" t="n">
        <v>1</v>
      </c>
      <c r="C5" s="5" t="n">
        <v>176645</v>
      </c>
      <c r="D5" s="7" t="n">
        <v>619.413</v>
      </c>
      <c r="E5" s="8" t="n">
        <f aca="false">D5/C5</f>
        <v>0.00350654136828102</v>
      </c>
      <c r="F5" s="5" t="n">
        <f aca="false">$C$5*B5</f>
        <v>176645</v>
      </c>
      <c r="G5" s="8" t="n">
        <f aca="false">C5/F5</f>
        <v>1</v>
      </c>
    </row>
    <row r="6" customFormat="false" ht="15" hidden="false" customHeight="true" outlineLevel="0" collapsed="false">
      <c r="A6" s="5" t="n">
        <v>500</v>
      </c>
      <c r="B6" s="6" t="n">
        <v>2</v>
      </c>
      <c r="C6" s="5" t="n">
        <v>124811</v>
      </c>
      <c r="D6" s="7" t="n">
        <v>4838.284</v>
      </c>
      <c r="E6" s="8" t="n">
        <f aca="false">D6/C6</f>
        <v>0.0387648845053721</v>
      </c>
      <c r="F6" s="5" t="n">
        <f aca="false">$C$5*B6</f>
        <v>353290</v>
      </c>
      <c r="G6" s="8" t="n">
        <f aca="false">C6/F6</f>
        <v>0.35328200628379</v>
      </c>
    </row>
    <row r="7" customFormat="false" ht="15" hidden="false" customHeight="true" outlineLevel="0" collapsed="false">
      <c r="A7" s="5" t="n">
        <v>500</v>
      </c>
      <c r="B7" s="6" t="n">
        <v>3</v>
      </c>
      <c r="C7" s="5" t="n">
        <v>149818</v>
      </c>
      <c r="D7" s="7" t="n">
        <v>1210.893</v>
      </c>
      <c r="E7" s="8" t="n">
        <f aca="false">D7/C7</f>
        <v>0.00808242667770228</v>
      </c>
      <c r="F7" s="5" t="n">
        <f aca="false">$C$5*B7</f>
        <v>529935</v>
      </c>
      <c r="G7" s="8" t="n">
        <f aca="false">C7/F7</f>
        <v>0.282710143696869</v>
      </c>
    </row>
    <row r="8" customFormat="false" ht="15" hidden="false" customHeight="true" outlineLevel="0" collapsed="false">
      <c r="A8" s="9" t="n">
        <v>500</v>
      </c>
      <c r="B8" s="10" t="n">
        <v>4</v>
      </c>
      <c r="C8" s="9" t="n">
        <v>145072</v>
      </c>
      <c r="D8" s="11" t="n">
        <v>9044.377</v>
      </c>
      <c r="E8" s="12" t="n">
        <f aca="false">D8/C8</f>
        <v>0.0623440567442374</v>
      </c>
      <c r="F8" s="9" t="n">
        <f aca="false">$C$5*B8</f>
        <v>706580</v>
      </c>
      <c r="G8" s="12" t="n">
        <f aca="false">C8/F8</f>
        <v>0.205315746270769</v>
      </c>
    </row>
    <row r="9" customFormat="false" ht="15" hidden="false" customHeight="true" outlineLevel="0" collapsed="false">
      <c r="A9" s="5" t="n">
        <v>4000</v>
      </c>
      <c r="B9" s="6" t="n">
        <v>1</v>
      </c>
      <c r="C9" s="5" t="n">
        <v>78392</v>
      </c>
      <c r="D9" s="7" t="n">
        <v>546.663</v>
      </c>
      <c r="E9" s="8" t="n">
        <f aca="false">D9/C9</f>
        <v>0.00697345392386978</v>
      </c>
      <c r="F9" s="5" t="n">
        <f aca="false">$C$9*B9</f>
        <v>78392</v>
      </c>
      <c r="G9" s="8" t="n">
        <f aca="false">C9/F9</f>
        <v>1</v>
      </c>
    </row>
    <row r="10" customFormat="false" ht="15" hidden="false" customHeight="true" outlineLevel="0" collapsed="false">
      <c r="A10" s="5" t="n">
        <v>4000</v>
      </c>
      <c r="B10" s="6" t="n">
        <v>2</v>
      </c>
      <c r="C10" s="5" t="n">
        <v>87398</v>
      </c>
      <c r="D10" s="7" t="n">
        <v>10821.999</v>
      </c>
      <c r="E10" s="8" t="n">
        <f aca="false">D10/C10</f>
        <v>0.123824332364585</v>
      </c>
      <c r="F10" s="5" t="n">
        <f aca="false">$C$9*B10</f>
        <v>156784</v>
      </c>
      <c r="G10" s="8" t="n">
        <f aca="false">C10/F10</f>
        <v>0.557442085927135</v>
      </c>
    </row>
    <row r="11" customFormat="false" ht="15" hidden="false" customHeight="true" outlineLevel="0" collapsed="false">
      <c r="A11" s="5" t="n">
        <v>4000</v>
      </c>
      <c r="B11" s="6" t="n">
        <v>3</v>
      </c>
      <c r="C11" s="5" t="n">
        <v>89829</v>
      </c>
      <c r="D11" s="7" t="n">
        <v>5098.371</v>
      </c>
      <c r="E11" s="8" t="n">
        <f aca="false">D11/C11</f>
        <v>0.0567564038339512</v>
      </c>
      <c r="F11" s="5" t="n">
        <f aca="false">$C$9*B11</f>
        <v>235176</v>
      </c>
      <c r="G11" s="8" t="n">
        <f aca="false">C11/F11</f>
        <v>0.381964996428207</v>
      </c>
    </row>
    <row r="12" customFormat="false" ht="15" hidden="false" customHeight="true" outlineLevel="0" collapsed="false">
      <c r="A12" s="9" t="n">
        <v>4000</v>
      </c>
      <c r="B12" s="10" t="n">
        <v>4</v>
      </c>
      <c r="C12" s="9" t="n">
        <v>97945</v>
      </c>
      <c r="D12" s="11" t="n">
        <v>3706.227</v>
      </c>
      <c r="E12" s="12" t="n">
        <f aca="false">D12/C12</f>
        <v>0.0378398795242228</v>
      </c>
      <c r="F12" s="9" t="n">
        <f aca="false">$C$9*B12</f>
        <v>313568</v>
      </c>
      <c r="G12" s="12" t="n">
        <f aca="false">C12/F12</f>
        <v>0.31235649045821</v>
      </c>
    </row>
    <row r="13" customFormat="false" ht="15" hidden="false" customHeight="true" outlineLevel="0" collapsed="false">
      <c r="A13" s="5" t="n">
        <v>32000</v>
      </c>
      <c r="B13" s="6" t="n">
        <v>1</v>
      </c>
      <c r="C13" s="5" t="n">
        <v>14531</v>
      </c>
      <c r="D13" s="7" t="n">
        <v>15.951</v>
      </c>
      <c r="E13" s="8" t="n">
        <f aca="false">D13/C13</f>
        <v>0.00109772211134815</v>
      </c>
      <c r="F13" s="5" t="n">
        <f aca="false">$C$13*B13</f>
        <v>14531</v>
      </c>
      <c r="G13" s="8" t="n">
        <f aca="false">C13/F13</f>
        <v>1</v>
      </c>
    </row>
    <row r="14" customFormat="false" ht="15" hidden="false" customHeight="true" outlineLevel="0" collapsed="false">
      <c r="A14" s="5" t="n">
        <v>32000</v>
      </c>
      <c r="B14" s="6" t="n">
        <v>2</v>
      </c>
      <c r="C14" s="5" t="n">
        <v>25249</v>
      </c>
      <c r="D14" s="7" t="n">
        <v>101.593</v>
      </c>
      <c r="E14" s="8" t="n">
        <f aca="false">D14/C14</f>
        <v>0.00402364450077231</v>
      </c>
      <c r="F14" s="5" t="n">
        <f aca="false">$C$13*B14</f>
        <v>29062</v>
      </c>
      <c r="G14" s="8" t="n">
        <f aca="false">C14/F14</f>
        <v>0.868797742756865</v>
      </c>
    </row>
    <row r="15" customFormat="false" ht="15" hidden="false" customHeight="true" outlineLevel="0" collapsed="false">
      <c r="A15" s="5" t="n">
        <v>32000</v>
      </c>
      <c r="B15" s="6" t="n">
        <v>3</v>
      </c>
      <c r="C15" s="5" t="n">
        <v>33707</v>
      </c>
      <c r="D15" s="7" t="n">
        <v>437.723</v>
      </c>
      <c r="E15" s="8" t="n">
        <f aca="false">D15/C15</f>
        <v>0.0129861156436349</v>
      </c>
      <c r="F15" s="5" t="n">
        <f aca="false">$C$13*B15</f>
        <v>43593</v>
      </c>
      <c r="G15" s="8" t="n">
        <f aca="false">C15/F15</f>
        <v>0.773220471176565</v>
      </c>
    </row>
    <row r="16" customFormat="false" ht="15" hidden="false" customHeight="true" outlineLevel="0" collapsed="false">
      <c r="A16" s="5" t="n">
        <v>32000</v>
      </c>
      <c r="B16" s="6" t="n">
        <v>4</v>
      </c>
      <c r="C16" s="5" t="n">
        <v>41294</v>
      </c>
      <c r="D16" s="7" t="n">
        <v>804.877</v>
      </c>
      <c r="E16" s="8" t="n">
        <f aca="false">D16/C16</f>
        <v>0.0194913788928174</v>
      </c>
      <c r="F16" s="5" t="n">
        <f aca="false">$C$13*B16</f>
        <v>58124</v>
      </c>
      <c r="G16" s="8" t="n">
        <f aca="false">C16/F16</f>
        <v>0.710446631339894</v>
      </c>
    </row>
    <row r="18" customFormat="false" ht="27.75" hidden="false" customHeight="true" outlineLevel="0" collapsed="false">
      <c r="A18" s="3" t="s">
        <v>9</v>
      </c>
      <c r="B18" s="3"/>
      <c r="C18" s="3"/>
      <c r="D18" s="3"/>
      <c r="E18" s="3"/>
      <c r="F18" s="3"/>
      <c r="G18" s="3"/>
    </row>
  </sheetData>
  <mergeCells count="2">
    <mergeCell ref="A2:F2"/>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8"/>
    <col collapsed="false" customWidth="true" hidden="false" outlineLevel="0" max="3" min="3" style="1" width="14"/>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s>
  <sheetData>
    <row r="1" customFormat="false" ht="15" hidden="false" customHeight="true" outlineLevel="0" collapsed="false">
      <c r="A1" s="2" t="s">
        <v>10</v>
      </c>
    </row>
    <row r="2" customFormat="false" ht="32.25" hidden="false" customHeight="true" outlineLevel="0" collapsed="false">
      <c r="A2" s="13" t="s">
        <v>11</v>
      </c>
      <c r="B2" s="13"/>
      <c r="C2" s="13"/>
      <c r="D2" s="13"/>
      <c r="E2" s="13"/>
      <c r="F2" s="13"/>
    </row>
    <row r="4" customFormat="false" ht="23.25" hidden="false" customHeight="true" outlineLevel="0" collapsed="false">
      <c r="A4" s="4" t="s">
        <v>2</v>
      </c>
      <c r="B4" s="4" t="s">
        <v>3</v>
      </c>
      <c r="C4" s="4" t="s">
        <v>4</v>
      </c>
      <c r="D4" s="4" t="s">
        <v>12</v>
      </c>
      <c r="E4" s="4" t="s">
        <v>6</v>
      </c>
      <c r="F4" s="4" t="s">
        <v>7</v>
      </c>
      <c r="G4" s="4" t="s">
        <v>8</v>
      </c>
    </row>
    <row r="5" customFormat="false" ht="15" hidden="false" customHeight="true" outlineLevel="0" collapsed="false">
      <c r="A5" s="5" t="n">
        <v>500</v>
      </c>
      <c r="B5" s="6" t="n">
        <v>1</v>
      </c>
      <c r="C5" s="5" t="n">
        <v>605711.8</v>
      </c>
      <c r="D5" s="7" t="n">
        <v>78.8</v>
      </c>
      <c r="E5" s="14" t="n">
        <f aca="false">D5/C5</f>
        <v>0.000130094873502547</v>
      </c>
      <c r="F5" s="5" t="n">
        <f aca="false">$C$5*B5</f>
        <v>605711.8</v>
      </c>
      <c r="G5" s="8" t="n">
        <f aca="false">C5/F5</f>
        <v>1</v>
      </c>
    </row>
    <row r="6" customFormat="false" ht="15" hidden="false" customHeight="true" outlineLevel="0" collapsed="false">
      <c r="A6" s="5" t="n">
        <v>500</v>
      </c>
      <c r="B6" s="6" t="n">
        <v>2</v>
      </c>
      <c r="C6" s="5" t="n">
        <v>1094364.4</v>
      </c>
      <c r="D6" s="7" t="n">
        <v>551.4</v>
      </c>
      <c r="E6" s="14" t="n">
        <f aca="false">D6/C6</f>
        <v>0.000503854109289374</v>
      </c>
      <c r="F6" s="5" t="n">
        <f aca="false">$C$5*B6</f>
        <v>1211423.6</v>
      </c>
      <c r="G6" s="8" t="n">
        <f aca="false">C6/F6</f>
        <v>0.903370546850829</v>
      </c>
    </row>
    <row r="7" customFormat="false" ht="15" hidden="false" customHeight="true" outlineLevel="0" collapsed="false">
      <c r="A7" s="5" t="n">
        <v>500</v>
      </c>
      <c r="B7" s="6" t="n">
        <v>3</v>
      </c>
      <c r="C7" s="5" t="n">
        <v>1401041.8</v>
      </c>
      <c r="D7" s="7" t="n">
        <v>4111.2</v>
      </c>
      <c r="E7" s="14" t="n">
        <f aca="false">D7/C7</f>
        <v>0.00293438782483149</v>
      </c>
      <c r="F7" s="5" t="n">
        <f aca="false">$C$5*B7</f>
        <v>1817135.4</v>
      </c>
      <c r="G7" s="8" t="n">
        <f aca="false">C7/F7</f>
        <v>0.771016733260493</v>
      </c>
    </row>
    <row r="8" customFormat="false" ht="15" hidden="false" customHeight="true" outlineLevel="0" collapsed="false">
      <c r="A8" s="9" t="n">
        <v>500</v>
      </c>
      <c r="B8" s="10" t="n">
        <v>4</v>
      </c>
      <c r="C8" s="9" t="n">
        <v>1271859.6</v>
      </c>
      <c r="D8" s="11" t="n">
        <v>2048.5</v>
      </c>
      <c r="E8" s="15" t="n">
        <f aca="false">D8/C8</f>
        <v>0.00161063375234185</v>
      </c>
      <c r="F8" s="9" t="n">
        <f aca="false">$C$5*B8</f>
        <v>2422847.2</v>
      </c>
      <c r="G8" s="12" t="n">
        <f aca="false">C8/F8</f>
        <v>0.524944206138959</v>
      </c>
    </row>
    <row r="9" customFormat="false" ht="15" hidden="false" customHeight="true" outlineLevel="0" collapsed="false">
      <c r="A9" s="5" t="n">
        <v>4000</v>
      </c>
      <c r="B9" s="6" t="n">
        <v>1</v>
      </c>
      <c r="C9" s="5" t="n">
        <v>158258</v>
      </c>
      <c r="D9" s="7" t="n">
        <v>2.7</v>
      </c>
      <c r="E9" s="14" t="n">
        <f aca="false">D9/C9</f>
        <v>1.70607489036889E-005</v>
      </c>
      <c r="F9" s="5" t="n">
        <f aca="false">$C$9*B9</f>
        <v>158258</v>
      </c>
      <c r="G9" s="8" t="n">
        <f aca="false">C9/F9</f>
        <v>1</v>
      </c>
    </row>
    <row r="10" customFormat="false" ht="15" hidden="false" customHeight="true" outlineLevel="0" collapsed="false">
      <c r="A10" s="5" t="n">
        <v>4000</v>
      </c>
      <c r="B10" s="6" t="n">
        <v>2</v>
      </c>
      <c r="C10" s="5" t="n">
        <v>307940.4</v>
      </c>
      <c r="D10" s="7" t="n">
        <v>43.4</v>
      </c>
      <c r="E10" s="14" t="n">
        <f aca="false">D10/C10</f>
        <v>0.000140936363010505</v>
      </c>
      <c r="F10" s="5" t="n">
        <f aca="false">$C$9*B10</f>
        <v>316516</v>
      </c>
      <c r="G10" s="8" t="n">
        <f aca="false">C10/F10</f>
        <v>0.972906266981764</v>
      </c>
    </row>
    <row r="11" customFormat="false" ht="15" hidden="false" customHeight="true" outlineLevel="0" collapsed="false">
      <c r="A11" s="5" t="n">
        <v>4000</v>
      </c>
      <c r="B11" s="6" t="n">
        <v>3</v>
      </c>
      <c r="C11" s="5" t="n">
        <v>462015.2</v>
      </c>
      <c r="D11" s="7" t="n">
        <v>8.2</v>
      </c>
      <c r="E11" s="14" t="n">
        <f aca="false">D11/C11</f>
        <v>1.77483338210518E-005</v>
      </c>
      <c r="F11" s="5" t="n">
        <f aca="false">$C$9*B11</f>
        <v>474774</v>
      </c>
      <c r="G11" s="8" t="n">
        <f aca="false">C11/F11</f>
        <v>0.973126582331804</v>
      </c>
    </row>
    <row r="12" customFormat="false" ht="15" hidden="false" customHeight="true" outlineLevel="0" collapsed="false">
      <c r="A12" s="9" t="n">
        <v>4000</v>
      </c>
      <c r="B12" s="10" t="n">
        <v>4</v>
      </c>
      <c r="C12" s="9" t="n">
        <v>614854.4</v>
      </c>
      <c r="D12" s="11" t="n">
        <v>84.3</v>
      </c>
      <c r="E12" s="15" t="n">
        <f aca="false">D12/C12</f>
        <v>0.00013710563021099</v>
      </c>
      <c r="F12" s="9" t="n">
        <f aca="false">$C$9*B12</f>
        <v>633032</v>
      </c>
      <c r="G12" s="12" t="n">
        <f aca="false">C12/F12</f>
        <v>0.971284863956325</v>
      </c>
    </row>
    <row r="13" customFormat="false" ht="15" hidden="false" customHeight="true" outlineLevel="0" collapsed="false">
      <c r="A13" s="5" t="n">
        <v>32000</v>
      </c>
      <c r="B13" s="6" t="n">
        <v>1</v>
      </c>
      <c r="C13" s="5" t="n">
        <v>22909</v>
      </c>
      <c r="D13" s="7" t="n">
        <v>0</v>
      </c>
      <c r="E13" s="14" t="n">
        <f aca="false">D13/C13</f>
        <v>0</v>
      </c>
      <c r="F13" s="5" t="n">
        <f aca="false">$C$13*B13</f>
        <v>22909</v>
      </c>
      <c r="G13" s="8" t="n">
        <f aca="false">C13/F13</f>
        <v>1</v>
      </c>
    </row>
    <row r="14" customFormat="false" ht="15" hidden="false" customHeight="true" outlineLevel="0" collapsed="false">
      <c r="A14" s="5" t="n">
        <v>32000</v>
      </c>
      <c r="B14" s="6" t="n">
        <v>2</v>
      </c>
      <c r="C14" s="5" t="n">
        <v>45635.6</v>
      </c>
      <c r="D14" s="7" t="n">
        <v>0.9</v>
      </c>
      <c r="E14" s="14" t="n">
        <f aca="false">D14/C14</f>
        <v>1.97214455381325E-005</v>
      </c>
      <c r="F14" s="5" t="n">
        <f aca="false">$C$13*B14</f>
        <v>45818</v>
      </c>
      <c r="G14" s="8" t="n">
        <f aca="false">C14/F14</f>
        <v>0.996019031821555</v>
      </c>
    </row>
    <row r="15" customFormat="false" ht="15" hidden="false" customHeight="true" outlineLevel="0" collapsed="false">
      <c r="A15" s="5" t="n">
        <v>32000</v>
      </c>
      <c r="B15" s="6" t="n">
        <v>3</v>
      </c>
      <c r="C15" s="5" t="n">
        <v>68456</v>
      </c>
      <c r="D15" s="7" t="n">
        <v>0.7</v>
      </c>
      <c r="E15" s="14" t="n">
        <f aca="false">D15/C15</f>
        <v>1.02255463363328E-005</v>
      </c>
      <c r="F15" s="5" t="n">
        <f aca="false">$C$13*B15</f>
        <v>68727</v>
      </c>
      <c r="G15" s="8" t="n">
        <f aca="false">C15/F15</f>
        <v>0.996056862659508</v>
      </c>
    </row>
    <row r="16" customFormat="false" ht="15" hidden="false" customHeight="true" outlineLevel="0" collapsed="false">
      <c r="A16" s="9" t="n">
        <v>32000</v>
      </c>
      <c r="B16" s="10" t="n">
        <v>4</v>
      </c>
      <c r="C16" s="9" t="n">
        <v>91244.2</v>
      </c>
      <c r="D16" s="11" t="n">
        <v>3.5</v>
      </c>
      <c r="E16" s="15" t="n">
        <f aca="false">D16/C16</f>
        <v>3.8358602519393E-005</v>
      </c>
      <c r="F16" s="9" t="n">
        <f aca="false">$C$13*B16</f>
        <v>91636</v>
      </c>
      <c r="G16" s="12" t="n">
        <f aca="false">C16/F16</f>
        <v>0.99572438779519</v>
      </c>
    </row>
    <row r="18" customFormat="false" ht="32.25" hidden="false" customHeight="true" outlineLevel="0" collapsed="false">
      <c r="A18" s="13" t="s">
        <v>13</v>
      </c>
      <c r="B18" s="13"/>
      <c r="C18" s="13"/>
      <c r="D18" s="13"/>
      <c r="E18" s="13"/>
      <c r="F18" s="13"/>
      <c r="G18" s="13"/>
    </row>
  </sheetData>
  <mergeCells count="2">
    <mergeCell ref="A2:F2"/>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8"/>
    <col collapsed="false" customWidth="true" hidden="false" outlineLevel="0" max="3" min="3" style="1" width="14"/>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s>
  <sheetData>
    <row r="1" customFormat="false" ht="15" hidden="false" customHeight="true" outlineLevel="0" collapsed="false">
      <c r="A1" s="2" t="s">
        <v>14</v>
      </c>
    </row>
    <row r="2" customFormat="false" ht="49.5" hidden="false" customHeight="true" outlineLevel="0" collapsed="false">
      <c r="A2" s="3" t="s">
        <v>15</v>
      </c>
      <c r="B2" s="3"/>
      <c r="C2" s="3"/>
      <c r="D2" s="3"/>
      <c r="E2" s="3"/>
      <c r="F2" s="3"/>
    </row>
    <row r="4" customFormat="false" ht="23.25" hidden="false" customHeight="true" outlineLevel="0" collapsed="false">
      <c r="A4" s="4" t="s">
        <v>2</v>
      </c>
      <c r="B4" s="4" t="s">
        <v>3</v>
      </c>
      <c r="C4" s="4" t="s">
        <v>4</v>
      </c>
      <c r="D4" s="4" t="s">
        <v>12</v>
      </c>
      <c r="E4" s="4" t="s">
        <v>6</v>
      </c>
      <c r="F4" s="4" t="s">
        <v>7</v>
      </c>
      <c r="G4" s="4" t="s">
        <v>8</v>
      </c>
    </row>
    <row r="5" customFormat="false" ht="15" hidden="false" customHeight="true" outlineLevel="0" collapsed="false">
      <c r="A5" s="5" t="n">
        <v>0</v>
      </c>
      <c r="B5" s="6" t="n">
        <v>1</v>
      </c>
      <c r="C5" s="5" t="n">
        <v>1033039.7</v>
      </c>
      <c r="D5" s="7" t="n">
        <v>1.4</v>
      </c>
      <c r="E5" s="14" t="n">
        <f aca="false">D5/C5</f>
        <v>1.35522381182446E-006</v>
      </c>
      <c r="F5" s="5" t="n">
        <f aca="false">$C$5*B5</f>
        <v>1033039.7</v>
      </c>
      <c r="G5" s="8" t="n">
        <f aca="false">C5/F5</f>
        <v>1</v>
      </c>
    </row>
    <row r="6" customFormat="false" ht="15" hidden="false" customHeight="true" outlineLevel="0" collapsed="false">
      <c r="A6" s="5" t="n">
        <v>0</v>
      </c>
      <c r="B6" s="6" t="n">
        <v>2</v>
      </c>
      <c r="C6" s="5" t="n">
        <v>1423022</v>
      </c>
      <c r="D6" s="7" t="n">
        <v>9127.8</v>
      </c>
      <c r="E6" s="14" t="n">
        <f aca="false">D6/C6</f>
        <v>0.00641437729002081</v>
      </c>
      <c r="F6" s="5" t="n">
        <f aca="false">$C$5*B6</f>
        <v>2066079.4</v>
      </c>
      <c r="G6" s="8" t="n">
        <f aca="false">C6/F6</f>
        <v>0.688754749696454</v>
      </c>
    </row>
    <row r="7" customFormat="false" ht="15" hidden="false" customHeight="true" outlineLevel="0" collapsed="false">
      <c r="A7" s="5" t="n">
        <v>0</v>
      </c>
      <c r="B7" s="6" t="n">
        <v>3</v>
      </c>
      <c r="C7" s="5" t="n">
        <v>1331568.3</v>
      </c>
      <c r="D7" s="7" t="n">
        <v>895.4</v>
      </c>
      <c r="E7" s="14" t="n">
        <f aca="false">D7/C7</f>
        <v>0.000672440159472105</v>
      </c>
      <c r="F7" s="5" t="n">
        <f aca="false">$C$5*B7</f>
        <v>3099119.1</v>
      </c>
      <c r="G7" s="8" t="n">
        <f aca="false">C7/F7</f>
        <v>0.429660254102529</v>
      </c>
    </row>
    <row r="8" customFormat="false" ht="15" hidden="false" customHeight="true" outlineLevel="0" collapsed="false">
      <c r="A8" s="9" t="n">
        <v>0</v>
      </c>
      <c r="B8" s="10" t="n">
        <v>4</v>
      </c>
      <c r="C8" s="9" t="n">
        <v>1274272.6</v>
      </c>
      <c r="D8" s="11" t="n">
        <v>665.8</v>
      </c>
      <c r="E8" s="15" t="n">
        <f aca="false">D8/C8</f>
        <v>0.000522494166475839</v>
      </c>
      <c r="F8" s="9" t="n">
        <f aca="false">$C$5*B8</f>
        <v>4132158.8</v>
      </c>
      <c r="G8" s="12" t="n">
        <f aca="false">C8/F8</f>
        <v>0.308379387549191</v>
      </c>
    </row>
    <row r="9" customFormat="false" ht="15" hidden="false" customHeight="true" outlineLevel="0" collapsed="false">
      <c r="A9" s="5" t="n">
        <v>500</v>
      </c>
      <c r="B9" s="6" t="n">
        <v>1</v>
      </c>
      <c r="C9" s="5" t="n">
        <v>605610.7</v>
      </c>
      <c r="D9" s="7" t="n">
        <v>133.6</v>
      </c>
      <c r="E9" s="14" t="n">
        <f aca="false">D9/C9</f>
        <v>0.000220603764101262</v>
      </c>
      <c r="F9" s="5" t="n">
        <f aca="false">$C$9*B9</f>
        <v>605610.7</v>
      </c>
      <c r="G9" s="8" t="n">
        <f aca="false">C9/F9</f>
        <v>1</v>
      </c>
    </row>
    <row r="10" customFormat="false" ht="15" hidden="false" customHeight="true" outlineLevel="0" collapsed="false">
      <c r="A10" s="5" t="n">
        <v>500</v>
      </c>
      <c r="B10" s="6" t="n">
        <v>2</v>
      </c>
      <c r="C10" s="5" t="n">
        <v>1094838.7</v>
      </c>
      <c r="D10" s="7" t="n">
        <v>323.6</v>
      </c>
      <c r="E10" s="14" t="n">
        <f aca="false">D10/C10</f>
        <v>0.000295568653172381</v>
      </c>
      <c r="F10" s="5" t="n">
        <f aca="false">$C$9*B10</f>
        <v>1211221.4</v>
      </c>
      <c r="G10" s="8" t="n">
        <f aca="false">C10/F10</f>
        <v>0.903912942753488</v>
      </c>
    </row>
    <row r="11" customFormat="false" ht="15" hidden="false" customHeight="true" outlineLevel="0" collapsed="false">
      <c r="A11" s="5" t="n">
        <v>500</v>
      </c>
      <c r="B11" s="6" t="n">
        <v>3</v>
      </c>
      <c r="C11" s="5" t="n">
        <v>1399994.4</v>
      </c>
      <c r="D11" s="7" t="n">
        <v>3091.2</v>
      </c>
      <c r="E11" s="14" t="n">
        <f aca="false">D11/C11</f>
        <v>0.00220800883203533</v>
      </c>
      <c r="F11" s="5" t="n">
        <f aca="false">$C$9*B11</f>
        <v>1816832.1</v>
      </c>
      <c r="G11" s="8" t="n">
        <f aca="false">C11/F11</f>
        <v>0.770568948005707</v>
      </c>
    </row>
    <row r="12" customFormat="false" ht="15" hidden="false" customHeight="true" outlineLevel="0" collapsed="false">
      <c r="A12" s="9" t="n">
        <v>500</v>
      </c>
      <c r="B12" s="10" t="n">
        <v>4</v>
      </c>
      <c r="C12" s="9" t="n">
        <v>1270686.9</v>
      </c>
      <c r="D12" s="11" t="n">
        <v>1785</v>
      </c>
      <c r="E12" s="15" t="n">
        <f aca="false">D12/C12</f>
        <v>0.00140475202821403</v>
      </c>
      <c r="F12" s="9" t="n">
        <f aca="false">$C$9*B12</f>
        <v>2422442.8</v>
      </c>
      <c r="G12" s="12" t="n">
        <f aca="false">C12/F12</f>
        <v>0.52454774164327</v>
      </c>
    </row>
    <row r="13" customFormat="false" ht="15" hidden="false" customHeight="true" outlineLevel="0" collapsed="false">
      <c r="A13" s="5" t="n">
        <v>4000</v>
      </c>
      <c r="B13" s="6" t="n">
        <v>1</v>
      </c>
      <c r="C13" s="5" t="n">
        <v>158257.1</v>
      </c>
      <c r="D13" s="7" t="n">
        <v>2.7</v>
      </c>
      <c r="E13" s="14" t="n">
        <f aca="false">D13/C13</f>
        <v>1.70608459272917E-005</v>
      </c>
      <c r="F13" s="5" t="n">
        <f aca="false">$C$13*B13</f>
        <v>158257.1</v>
      </c>
      <c r="G13" s="8" t="n">
        <f aca="false">C13/F13</f>
        <v>1</v>
      </c>
    </row>
    <row r="14" customFormat="false" ht="15" hidden="false" customHeight="true" outlineLevel="0" collapsed="false">
      <c r="A14" s="5" t="n">
        <v>4000</v>
      </c>
      <c r="B14" s="6" t="n">
        <v>2</v>
      </c>
      <c r="C14" s="5" t="n">
        <v>307927.7</v>
      </c>
      <c r="D14" s="7" t="n">
        <v>40.9</v>
      </c>
      <c r="E14" s="14" t="n">
        <f aca="false">D14/C14</f>
        <v>0.000132823386788522</v>
      </c>
      <c r="F14" s="5" t="n">
        <f aca="false">$C$13*B14</f>
        <v>316514.2</v>
      </c>
      <c r="G14" s="8" t="n">
        <f aca="false">C14/F14</f>
        <v>0.97287167526765</v>
      </c>
    </row>
    <row r="15" customFormat="false" ht="15" hidden="false" customHeight="true" outlineLevel="0" collapsed="false">
      <c r="A15" s="5" t="n">
        <v>4000</v>
      </c>
      <c r="B15" s="6" t="n">
        <v>3</v>
      </c>
      <c r="C15" s="5" t="n">
        <v>461998</v>
      </c>
      <c r="D15" s="7" t="n">
        <v>11.3</v>
      </c>
      <c r="E15" s="14" t="n">
        <f aca="false">D15/C15</f>
        <v>2.44589803419062E-005</v>
      </c>
      <c r="F15" s="5" t="n">
        <f aca="false">$C$13*B15</f>
        <v>474771.3</v>
      </c>
      <c r="G15" s="8" t="n">
        <f aca="false">C15/F15</f>
        <v>0.973095888483571</v>
      </c>
    </row>
    <row r="16" customFormat="false" ht="15" hidden="false" customHeight="true" outlineLevel="0" collapsed="false">
      <c r="A16" s="9" t="n">
        <v>4000</v>
      </c>
      <c r="B16" s="10" t="n">
        <v>4</v>
      </c>
      <c r="C16" s="9" t="n">
        <v>614832.4</v>
      </c>
      <c r="D16" s="11" t="n">
        <v>77.8</v>
      </c>
      <c r="E16" s="15" t="n">
        <f aca="false">D16/C16</f>
        <v>0.000126538549367275</v>
      </c>
      <c r="F16" s="9" t="n">
        <f aca="false">$C$13*B16</f>
        <v>633028.4</v>
      </c>
      <c r="G16" s="12" t="n">
        <f aca="false">C16/F16</f>
        <v>0.971255634028426</v>
      </c>
    </row>
    <row r="17" customFormat="false" ht="15" hidden="false" customHeight="true" outlineLevel="0" collapsed="false">
      <c r="A17" s="5" t="n">
        <v>32000</v>
      </c>
      <c r="B17" s="6" t="n">
        <v>1</v>
      </c>
      <c r="C17" s="5" t="n">
        <v>22909</v>
      </c>
      <c r="D17" s="7" t="n">
        <v>0</v>
      </c>
      <c r="E17" s="14" t="n">
        <f aca="false">D17/C17</f>
        <v>0</v>
      </c>
      <c r="F17" s="5" t="n">
        <f aca="false">$C$17*B17</f>
        <v>22909</v>
      </c>
      <c r="G17" s="8" t="n">
        <f aca="false">C17/F17</f>
        <v>1</v>
      </c>
    </row>
    <row r="18" customFormat="false" ht="15" hidden="false" customHeight="true" outlineLevel="0" collapsed="false">
      <c r="A18" s="5" t="n">
        <v>32000</v>
      </c>
      <c r="B18" s="6" t="n">
        <v>2</v>
      </c>
      <c r="C18" s="5" t="n">
        <v>45634.7</v>
      </c>
      <c r="D18" s="7" t="n">
        <v>0.5</v>
      </c>
      <c r="E18" s="14" t="n">
        <f aca="false">D18/C18</f>
        <v>1.09565747117873E-005</v>
      </c>
      <c r="F18" s="5" t="n">
        <f aca="false">$C$17*B18</f>
        <v>45818</v>
      </c>
      <c r="G18" s="8" t="n">
        <f aca="false">C18/F18</f>
        <v>0.995999388886464</v>
      </c>
    </row>
    <row r="19" customFormat="false" ht="15" hidden="false" customHeight="true" outlineLevel="0" collapsed="false">
      <c r="A19" s="5" t="n">
        <v>32000</v>
      </c>
      <c r="B19" s="6" t="n">
        <v>3</v>
      </c>
      <c r="C19" s="5" t="n">
        <v>68456.3</v>
      </c>
      <c r="D19" s="7" t="n">
        <v>1.6</v>
      </c>
      <c r="E19" s="14" t="n">
        <f aca="false">D19/C19</f>
        <v>2.33725749127546E-005</v>
      </c>
      <c r="F19" s="5" t="n">
        <f aca="false">$C$17*B19</f>
        <v>68727</v>
      </c>
      <c r="G19" s="8" t="n">
        <f aca="false">C19/F19</f>
        <v>0.996061227756195</v>
      </c>
    </row>
    <row r="20" customFormat="false" ht="15" hidden="false" customHeight="true" outlineLevel="0" collapsed="false">
      <c r="A20" s="9" t="n">
        <v>32000</v>
      </c>
      <c r="B20" s="10" t="n">
        <v>4</v>
      </c>
      <c r="C20" s="9" t="n">
        <v>91244.9</v>
      </c>
      <c r="D20" s="11" t="n">
        <v>2</v>
      </c>
      <c r="E20" s="15" t="n">
        <f aca="false">D20/C20</f>
        <v>2.19190332829561E-005</v>
      </c>
      <c r="F20" s="9" t="n">
        <f aca="false">$C$17*B20</f>
        <v>91636</v>
      </c>
      <c r="G20" s="12" t="n">
        <f aca="false">C20/F20</f>
        <v>0.995732026714392</v>
      </c>
    </row>
    <row r="22" customFormat="false" ht="75.75" hidden="false" customHeight="true" outlineLevel="0" collapsed="false">
      <c r="A22" s="3" t="s">
        <v>16</v>
      </c>
      <c r="B22" s="3"/>
      <c r="C22" s="3"/>
      <c r="D22" s="3"/>
      <c r="E22" s="3"/>
      <c r="F22" s="3"/>
      <c r="G22" s="3"/>
    </row>
  </sheetData>
  <mergeCells count="2">
    <mergeCell ref="A2:F2"/>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8"/>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6" min="6" style="0" width="18"/>
    <col collapsed="false" customWidth="true" hidden="false" outlineLevel="0" max="7" min="7" style="0" width="16"/>
  </cols>
  <sheetData>
    <row r="1" customFormat="false" ht="15" hidden="false" customHeight="false" outlineLevel="0" collapsed="false">
      <c r="A1" s="16" t="s">
        <v>17</v>
      </c>
    </row>
    <row r="2" customFormat="false" ht="61.5" hidden="false" customHeight="true" outlineLevel="0" collapsed="false">
      <c r="A2" s="3" t="s">
        <v>18</v>
      </c>
      <c r="B2" s="3"/>
      <c r="C2" s="3"/>
      <c r="D2" s="3"/>
      <c r="E2" s="3"/>
      <c r="F2" s="3"/>
      <c r="G2" s="3"/>
    </row>
    <row r="4" customFormat="false" ht="23.85" hidden="false" customHeight="false" outlineLevel="0" collapsed="false">
      <c r="A4" s="4" t="s">
        <v>2</v>
      </c>
      <c r="B4" s="4" t="s">
        <v>3</v>
      </c>
      <c r="C4" s="4" t="s">
        <v>4</v>
      </c>
      <c r="D4" s="4" t="s">
        <v>12</v>
      </c>
      <c r="E4" s="4" t="s">
        <v>6</v>
      </c>
      <c r="F4" s="4" t="s">
        <v>7</v>
      </c>
      <c r="G4" s="4" t="s">
        <v>8</v>
      </c>
    </row>
    <row r="5" customFormat="false" ht="15" hidden="false" customHeight="false" outlineLevel="0" collapsed="false">
      <c r="A5" s="5" t="n">
        <v>0</v>
      </c>
      <c r="B5" s="6" t="n">
        <v>1</v>
      </c>
      <c r="C5" s="5" t="n">
        <v>356843.3</v>
      </c>
      <c r="D5" s="7" t="n">
        <v>245.8</v>
      </c>
      <c r="E5" s="14" t="n">
        <f aca="false">D5/C5</f>
        <v>0.00068881775277832</v>
      </c>
      <c r="F5" s="5" t="n">
        <f aca="false">$C$5*B5</f>
        <v>356843.3</v>
      </c>
      <c r="G5" s="8" t="n">
        <f aca="false">C5/F5</f>
        <v>1</v>
      </c>
    </row>
    <row r="6" customFormat="false" ht="15" hidden="false" customHeight="false" outlineLevel="0" collapsed="false">
      <c r="A6" s="5" t="n">
        <v>0</v>
      </c>
      <c r="B6" s="6" t="n">
        <v>2</v>
      </c>
      <c r="C6" s="5" t="n">
        <v>464257</v>
      </c>
      <c r="D6" s="7" t="n">
        <v>734.9</v>
      </c>
      <c r="E6" s="14" t="n">
        <f aca="false">D6/C6</f>
        <v>0.0015829594384145</v>
      </c>
      <c r="F6" s="5" t="n">
        <f aca="false">$C$5*B6</f>
        <v>713686.6</v>
      </c>
      <c r="G6" s="8" t="n">
        <f aca="false">C6/F6</f>
        <v>0.650505417924338</v>
      </c>
    </row>
    <row r="7" customFormat="false" ht="15" hidden="false" customHeight="false" outlineLevel="0" collapsed="false">
      <c r="A7" s="5" t="n">
        <v>0</v>
      </c>
      <c r="B7" s="6" t="n">
        <v>3</v>
      </c>
      <c r="C7" s="5" t="n">
        <v>473958.7</v>
      </c>
      <c r="D7" s="7" t="n">
        <v>371.9</v>
      </c>
      <c r="E7" s="14" t="n">
        <f aca="false">D7/C7</f>
        <v>0.00078466752482864</v>
      </c>
      <c r="F7" s="5" t="n">
        <f aca="false">$C$5*B7</f>
        <v>1070529.9</v>
      </c>
      <c r="G7" s="8" t="n">
        <f aca="false">C7/F7</f>
        <v>0.442732799896575</v>
      </c>
    </row>
    <row r="8" customFormat="false" ht="15" hidden="false" customHeight="false" outlineLevel="0" collapsed="false">
      <c r="A8" s="9" t="n">
        <v>0</v>
      </c>
      <c r="B8" s="10" t="n">
        <v>4</v>
      </c>
      <c r="C8" s="9" t="n">
        <v>491372.8</v>
      </c>
      <c r="D8" s="11" t="n">
        <v>112.1</v>
      </c>
      <c r="E8" s="15" t="n">
        <f aca="false">D8/C8</f>
        <v>0.00022813635593993</v>
      </c>
      <c r="F8" s="9" t="n">
        <f aca="false">$C$5*B8</f>
        <v>1427373.2</v>
      </c>
      <c r="G8" s="12" t="n">
        <f aca="false">C8/F8</f>
        <v>0.344249702880788</v>
      </c>
    </row>
    <row r="9" customFormat="false" ht="15" hidden="false" customHeight="false" outlineLevel="0" collapsed="false">
      <c r="A9" s="5" t="n">
        <v>500</v>
      </c>
      <c r="B9" s="6" t="n">
        <v>1</v>
      </c>
      <c r="C9" s="5" t="n">
        <v>288020.3</v>
      </c>
      <c r="D9" s="7" t="n">
        <v>973.4</v>
      </c>
      <c r="E9" s="14" t="n">
        <f aca="false">D9/C9</f>
        <v>0.00337962289463625</v>
      </c>
      <c r="F9" s="5" t="n">
        <f aca="false">$C$9*B9</f>
        <v>288020.3</v>
      </c>
      <c r="G9" s="8" t="n">
        <f aca="false">C9/F9</f>
        <v>1</v>
      </c>
    </row>
    <row r="10" customFormat="false" ht="15" hidden="false" customHeight="false" outlineLevel="0" collapsed="false">
      <c r="A10" s="5" t="n">
        <v>500</v>
      </c>
      <c r="B10" s="6" t="n">
        <v>2</v>
      </c>
      <c r="C10" s="5" t="n">
        <v>442512.3</v>
      </c>
      <c r="D10" s="7" t="n">
        <v>816.7</v>
      </c>
      <c r="E10" s="14" t="n">
        <f aca="false">D10/C10</f>
        <v>0.00184559841613442</v>
      </c>
      <c r="F10" s="5" t="n">
        <f aca="false">$C$9*B10</f>
        <v>576040.6</v>
      </c>
      <c r="G10" s="8" t="n">
        <f aca="false">C10/F10</f>
        <v>0.768196373658385</v>
      </c>
    </row>
    <row r="11" customFormat="false" ht="15" hidden="false" customHeight="false" outlineLevel="0" collapsed="false">
      <c r="A11" s="5" t="n">
        <v>500</v>
      </c>
      <c r="B11" s="6" t="n">
        <v>3</v>
      </c>
      <c r="C11" s="5" t="n">
        <v>483345.3</v>
      </c>
      <c r="D11" s="7" t="n">
        <v>1409</v>
      </c>
      <c r="E11" s="14" t="n">
        <f aca="false">D11/C11</f>
        <v>0.00291510023993199</v>
      </c>
      <c r="F11" s="5" t="n">
        <f aca="false">$C$9*B11</f>
        <v>864060.9</v>
      </c>
      <c r="G11" s="8" t="n">
        <f aca="false">C11/F11</f>
        <v>0.55938800147073</v>
      </c>
    </row>
    <row r="12" customFormat="false" ht="15" hidden="false" customHeight="false" outlineLevel="0" collapsed="false">
      <c r="A12" s="9" t="n">
        <v>500</v>
      </c>
      <c r="B12" s="10" t="n">
        <v>4</v>
      </c>
      <c r="C12" s="9" t="n">
        <v>494807</v>
      </c>
      <c r="D12" s="11" t="n">
        <v>661.1</v>
      </c>
      <c r="E12" s="15" t="n">
        <f aca="false">D12/C12</f>
        <v>0.0013360764904296</v>
      </c>
      <c r="F12" s="9" t="n">
        <f aca="false">$C$9*B12</f>
        <v>1152081.2</v>
      </c>
      <c r="G12" s="12" t="n">
        <f aca="false">C12/F12</f>
        <v>0.429489692219611</v>
      </c>
    </row>
    <row r="13" customFormat="false" ht="15" hidden="false" customHeight="false" outlineLevel="0" collapsed="false">
      <c r="A13" s="5" t="n">
        <v>4000</v>
      </c>
      <c r="B13" s="6" t="n">
        <v>1</v>
      </c>
      <c r="C13" s="5" t="n">
        <v>122910</v>
      </c>
      <c r="D13" s="7" t="n">
        <v>201.9</v>
      </c>
      <c r="E13" s="14" t="n">
        <f aca="false">D13/C13</f>
        <v>0.00164266536490115</v>
      </c>
      <c r="F13" s="5" t="n">
        <f aca="false">$C$13*B13</f>
        <v>122910</v>
      </c>
      <c r="G13" s="8" t="n">
        <f aca="false">C13/F13</f>
        <v>1</v>
      </c>
    </row>
    <row r="14" customFormat="false" ht="15" hidden="false" customHeight="false" outlineLevel="0" collapsed="false">
      <c r="A14" s="5" t="n">
        <v>4000</v>
      </c>
      <c r="B14" s="6" t="n">
        <v>2</v>
      </c>
      <c r="C14" s="5" t="n">
        <v>232229.7</v>
      </c>
      <c r="D14" s="7" t="n">
        <v>3861.2</v>
      </c>
      <c r="E14" s="14" t="n">
        <f aca="false">D14/C14</f>
        <v>0.0166266416397214</v>
      </c>
      <c r="F14" s="5" t="n">
        <f aca="false">$C$13*B14</f>
        <v>245820</v>
      </c>
      <c r="G14" s="8" t="n">
        <f aca="false">C14/F14</f>
        <v>0.944714425189163</v>
      </c>
    </row>
    <row r="15" customFormat="false" ht="15" hidden="false" customHeight="false" outlineLevel="0" collapsed="false">
      <c r="A15" s="5" t="n">
        <v>4000</v>
      </c>
      <c r="B15" s="6" t="n">
        <v>3</v>
      </c>
      <c r="C15" s="5" t="n">
        <v>328648.7</v>
      </c>
      <c r="D15" s="7" t="n">
        <v>4772.3</v>
      </c>
      <c r="E15" s="14" t="n">
        <f aca="false">D15/C15</f>
        <v>0.0145209763495185</v>
      </c>
      <c r="F15" s="5" t="n">
        <f aca="false">$C$13*B15</f>
        <v>368730</v>
      </c>
      <c r="G15" s="8" t="n">
        <f aca="false">C15/F15</f>
        <v>0.891299053507987</v>
      </c>
    </row>
    <row r="16" customFormat="false" ht="15" hidden="false" customHeight="false" outlineLevel="0" collapsed="false">
      <c r="A16" s="9" t="n">
        <v>4000</v>
      </c>
      <c r="B16" s="10" t="n">
        <v>4</v>
      </c>
      <c r="C16" s="9" t="n">
        <v>410156.8</v>
      </c>
      <c r="D16" s="11" t="n">
        <v>8638.7</v>
      </c>
      <c r="E16" s="15" t="n">
        <f aca="false">D16/C16</f>
        <v>0.0210619450902679</v>
      </c>
      <c r="F16" s="9" t="n">
        <f aca="false">$C$13*B16</f>
        <v>491640</v>
      </c>
      <c r="G16" s="12" t="n">
        <f aca="false">C16/F16</f>
        <v>0.834262468472866</v>
      </c>
    </row>
    <row r="17" customFormat="false" ht="15" hidden="false" customHeight="false" outlineLevel="0" collapsed="false">
      <c r="A17" s="5" t="n">
        <v>32000</v>
      </c>
      <c r="B17" s="6" t="n">
        <v>1</v>
      </c>
      <c r="C17" s="5" t="n">
        <v>21991.5</v>
      </c>
      <c r="D17" s="7" t="n">
        <v>7.1</v>
      </c>
      <c r="E17" s="14" t="n">
        <f aca="false">D17/C17</f>
        <v>0.000322852011004252</v>
      </c>
      <c r="F17" s="5" t="n">
        <f aca="false">$C$17*B17</f>
        <v>21991.5</v>
      </c>
      <c r="G17" s="8" t="n">
        <f aca="false">C17/F17</f>
        <v>1</v>
      </c>
    </row>
    <row r="18" customFormat="false" ht="15" hidden="false" customHeight="false" outlineLevel="0" collapsed="false">
      <c r="A18" s="5" t="n">
        <v>32000</v>
      </c>
      <c r="B18" s="6" t="n">
        <v>2</v>
      </c>
      <c r="C18" s="5" t="n">
        <v>43853.7</v>
      </c>
      <c r="D18" s="7" t="n">
        <v>75.5</v>
      </c>
      <c r="E18" s="14" t="n">
        <f aca="false">D18/C18</f>
        <v>0.00172163352237097</v>
      </c>
      <c r="F18" s="5" t="n">
        <f aca="false">$C$17*B18</f>
        <v>43983</v>
      </c>
      <c r="G18" s="8" t="n">
        <f aca="false">C18/F18</f>
        <v>0.997060227815292</v>
      </c>
    </row>
    <row r="19" customFormat="false" ht="15" hidden="false" customHeight="false" outlineLevel="0" collapsed="false">
      <c r="A19" s="5" t="n">
        <v>32000</v>
      </c>
      <c r="B19" s="6" t="n">
        <v>3</v>
      </c>
      <c r="C19" s="5" t="n">
        <v>64609</v>
      </c>
      <c r="D19" s="7" t="n">
        <v>308.6</v>
      </c>
      <c r="E19" s="14" t="n">
        <f aca="false">D19/C19</f>
        <v>0.00477642433716665</v>
      </c>
      <c r="F19" s="5" t="n">
        <f aca="false">$C$17*B19</f>
        <v>65974.5</v>
      </c>
      <c r="G19" s="8" t="n">
        <f aca="false">C19/F19</f>
        <v>0.979302609341488</v>
      </c>
    </row>
    <row r="20" customFormat="false" ht="15" hidden="false" customHeight="false" outlineLevel="0" collapsed="false">
      <c r="A20" s="9" t="n">
        <v>32000</v>
      </c>
      <c r="B20" s="10" t="n">
        <v>4</v>
      </c>
      <c r="C20" s="9" t="n">
        <v>85638.5</v>
      </c>
      <c r="D20" s="11" t="n">
        <v>595.4</v>
      </c>
      <c r="E20" s="15" t="n">
        <f aca="false">D20/C20</f>
        <v>0.00695248048482867</v>
      </c>
      <c r="F20" s="9" t="n">
        <f aca="false">$C$17*B20</f>
        <v>87966</v>
      </c>
      <c r="G20" s="12" t="n">
        <f aca="false">C20/F20</f>
        <v>0.973540913534775</v>
      </c>
    </row>
    <row r="22" customFormat="false" ht="111.75" hidden="false" customHeight="true" outlineLevel="0" collapsed="false">
      <c r="A22" s="3" t="s">
        <v>19</v>
      </c>
      <c r="B22" s="3"/>
      <c r="C22" s="3"/>
      <c r="D22" s="3"/>
      <c r="E22" s="3"/>
      <c r="F22" s="3"/>
      <c r="G22" s="3"/>
    </row>
  </sheetData>
  <mergeCells count="2">
    <mergeCell ref="A2:G2"/>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4"/>
    <col collapsed="false" customWidth="true" hidden="false" outlineLevel="0" max="6" min="3" style="0" width="18"/>
    <col collapsed="false" customWidth="true" hidden="false" outlineLevel="0" max="8" min="7" style="0" width="16"/>
  </cols>
  <sheetData>
    <row r="1" customFormat="false" ht="15" hidden="false" customHeight="false" outlineLevel="0" collapsed="false">
      <c r="A1" s="16" t="s">
        <v>20</v>
      </c>
    </row>
    <row r="2" customFormat="false" ht="39.75" hidden="false" customHeight="true" outlineLevel="0" collapsed="false">
      <c r="A2" s="3" t="s">
        <v>21</v>
      </c>
      <c r="B2" s="3"/>
      <c r="C2" s="3"/>
      <c r="D2" s="3"/>
      <c r="E2" s="3"/>
      <c r="F2" s="3"/>
      <c r="G2" s="3"/>
      <c r="H2" s="3"/>
    </row>
    <row r="4" customFormat="false" ht="39.75" hidden="false" customHeight="true" outlineLevel="0" collapsed="false">
      <c r="A4" s="4" t="s">
        <v>2</v>
      </c>
      <c r="B4" s="4" t="s">
        <v>22</v>
      </c>
      <c r="C4" s="4" t="s">
        <v>23</v>
      </c>
      <c r="D4" s="4" t="s">
        <v>24</v>
      </c>
      <c r="E4" s="4" t="s">
        <v>25</v>
      </c>
      <c r="F4" s="4" t="s">
        <v>26</v>
      </c>
      <c r="G4" s="4" t="s">
        <v>27</v>
      </c>
      <c r="H4" s="4" t="s">
        <v>28</v>
      </c>
    </row>
    <row r="5" customFormat="false" ht="15" hidden="false" customHeight="false" outlineLevel="0" collapsed="false">
      <c r="A5" s="5" t="n">
        <f aca="false">'SMP Scaling (RPi4B pinned)'!A5</f>
        <v>0</v>
      </c>
      <c r="B5" s="6" t="n">
        <f aca="false">'SMP Scaling (RPi4B pinned)'!B5</f>
        <v>1</v>
      </c>
      <c r="C5" s="5" t="n">
        <f aca="false">'SMP Scaling (RPi4B pinned)'!C5</f>
        <v>1033039.7</v>
      </c>
      <c r="D5" s="5" t="n">
        <f aca="false">'SMP Scaling (RPi4B cross-core)'!C5</f>
        <v>356843.3</v>
      </c>
      <c r="E5" s="8" t="n">
        <f aca="false">D5/C5</f>
        <v>0.345430383750015</v>
      </c>
      <c r="F5" s="17" t="n">
        <f aca="false">C5/D5</f>
        <v>2.89493931930346</v>
      </c>
      <c r="G5" s="8" t="n">
        <f aca="false">'SMP Scaling (RPi4B pinned)'!G5</f>
        <v>1</v>
      </c>
      <c r="H5" s="8" t="n">
        <f aca="false">'SMP Scaling (RPi4B cross-core)'!G5</f>
        <v>1</v>
      </c>
    </row>
    <row r="6" customFormat="false" ht="15" hidden="false" customHeight="false" outlineLevel="0" collapsed="false">
      <c r="A6" s="5" t="n">
        <f aca="false">'SMP Scaling (RPi4B pinned)'!A6</f>
        <v>0</v>
      </c>
      <c r="B6" s="6" t="n">
        <f aca="false">'SMP Scaling (RPi4B pinned)'!B6</f>
        <v>2</v>
      </c>
      <c r="C6" s="5" t="n">
        <f aca="false">'SMP Scaling (RPi4B pinned)'!C6</f>
        <v>1423022</v>
      </c>
      <c r="D6" s="5" t="n">
        <f aca="false">'SMP Scaling (RPi4B cross-core)'!C6</f>
        <v>464257</v>
      </c>
      <c r="E6" s="8" t="n">
        <f aca="false">D6/C6</f>
        <v>0.326247240028615</v>
      </c>
      <c r="F6" s="17" t="n">
        <f aca="false">C6/D6</f>
        <v>3.06516002989723</v>
      </c>
      <c r="G6" s="8" t="n">
        <f aca="false">'SMP Scaling (RPi4B pinned)'!G6</f>
        <v>0.688754749696454</v>
      </c>
      <c r="H6" s="8" t="n">
        <f aca="false">'SMP Scaling (RPi4B cross-core)'!G6</f>
        <v>0.650505417924338</v>
      </c>
    </row>
    <row r="7" customFormat="false" ht="15" hidden="false" customHeight="false" outlineLevel="0" collapsed="false">
      <c r="A7" s="5" t="n">
        <f aca="false">'SMP Scaling (RPi4B pinned)'!A7</f>
        <v>0</v>
      </c>
      <c r="B7" s="6" t="n">
        <f aca="false">'SMP Scaling (RPi4B pinned)'!B7</f>
        <v>3</v>
      </c>
      <c r="C7" s="5" t="n">
        <f aca="false">'SMP Scaling (RPi4B pinned)'!C7</f>
        <v>1331568.3</v>
      </c>
      <c r="D7" s="5" t="n">
        <f aca="false">'SMP Scaling (RPi4B cross-core)'!C7</f>
        <v>473958.7</v>
      </c>
      <c r="E7" s="8" t="n">
        <f aca="false">D7/C7</f>
        <v>0.355940209751163</v>
      </c>
      <c r="F7" s="17" t="n">
        <f aca="false">C7/D7</f>
        <v>2.80946061334036</v>
      </c>
      <c r="G7" s="8" t="n">
        <f aca="false">'SMP Scaling (RPi4B pinned)'!G7</f>
        <v>0.429660254102529</v>
      </c>
      <c r="H7" s="8" t="n">
        <f aca="false">'SMP Scaling (RPi4B cross-core)'!G7</f>
        <v>0.442732799896575</v>
      </c>
    </row>
    <row r="8" customFormat="false" ht="15" hidden="false" customHeight="false" outlineLevel="0" collapsed="false">
      <c r="A8" s="9" t="n">
        <f aca="false">'SMP Scaling (RPi4B pinned)'!A8</f>
        <v>0</v>
      </c>
      <c r="B8" s="10" t="n">
        <f aca="false">'SMP Scaling (RPi4B pinned)'!B8</f>
        <v>4</v>
      </c>
      <c r="C8" s="9" t="n">
        <f aca="false">'SMP Scaling (RPi4B pinned)'!C8</f>
        <v>1274272.6</v>
      </c>
      <c r="D8" s="9" t="n">
        <f aca="false">'SMP Scaling (RPi4B cross-core)'!C8</f>
        <v>491372.8</v>
      </c>
      <c r="E8" s="12" t="n">
        <f aca="false">D8/C8</f>
        <v>0.38561042590102</v>
      </c>
      <c r="F8" s="18" t="n">
        <f aca="false">C8/D8</f>
        <v>2.59329087812756</v>
      </c>
      <c r="G8" s="12" t="n">
        <f aca="false">'SMP Scaling (RPi4B pinned)'!G8</f>
        <v>0.308379387549191</v>
      </c>
      <c r="H8" s="12" t="n">
        <f aca="false">'SMP Scaling (RPi4B cross-core)'!G8</f>
        <v>0.344249702880788</v>
      </c>
    </row>
    <row r="9" customFormat="false" ht="15" hidden="false" customHeight="false" outlineLevel="0" collapsed="false">
      <c r="A9" s="5" t="n">
        <f aca="false">'SMP Scaling (RPi4B pinned)'!A9</f>
        <v>500</v>
      </c>
      <c r="B9" s="6" t="n">
        <f aca="false">'SMP Scaling (RPi4B pinned)'!B9</f>
        <v>1</v>
      </c>
      <c r="C9" s="5" t="n">
        <f aca="false">'SMP Scaling (RPi4B pinned)'!C9</f>
        <v>605610.7</v>
      </c>
      <c r="D9" s="5" t="n">
        <f aca="false">'SMP Scaling (RPi4B cross-core)'!C9</f>
        <v>288020.3</v>
      </c>
      <c r="E9" s="8" t="n">
        <f aca="false">D9/C9</f>
        <v>0.475586544293223</v>
      </c>
      <c r="F9" s="17" t="n">
        <f aca="false">C9/D9</f>
        <v>2.10266672175538</v>
      </c>
      <c r="G9" s="8" t="n">
        <f aca="false">'SMP Scaling (RPi4B pinned)'!G9</f>
        <v>1</v>
      </c>
      <c r="H9" s="8" t="n">
        <f aca="false">'SMP Scaling (RPi4B cross-core)'!G9</f>
        <v>1</v>
      </c>
    </row>
    <row r="10" customFormat="false" ht="15" hidden="false" customHeight="false" outlineLevel="0" collapsed="false">
      <c r="A10" s="5" t="n">
        <f aca="false">'SMP Scaling (RPi4B pinned)'!A10</f>
        <v>500</v>
      </c>
      <c r="B10" s="6" t="n">
        <f aca="false">'SMP Scaling (RPi4B pinned)'!B10</f>
        <v>2</v>
      </c>
      <c r="C10" s="5" t="n">
        <f aca="false">'SMP Scaling (RPi4B pinned)'!C10</f>
        <v>1094838.7</v>
      </c>
      <c r="D10" s="5" t="n">
        <f aca="false">'SMP Scaling (RPi4B cross-core)'!C10</f>
        <v>442512.3</v>
      </c>
      <c r="E10" s="8" t="n">
        <f aca="false">D10/C10</f>
        <v>0.404180360084093</v>
      </c>
      <c r="F10" s="17" t="n">
        <f aca="false">C10/D10</f>
        <v>2.47414297862455</v>
      </c>
      <c r="G10" s="8" t="n">
        <f aca="false">'SMP Scaling (RPi4B pinned)'!G10</f>
        <v>0.903912942753488</v>
      </c>
      <c r="H10" s="8" t="n">
        <f aca="false">'SMP Scaling (RPi4B cross-core)'!G10</f>
        <v>0.768196373658385</v>
      </c>
    </row>
    <row r="11" customFormat="false" ht="15" hidden="false" customHeight="false" outlineLevel="0" collapsed="false">
      <c r="A11" s="5" t="n">
        <f aca="false">'SMP Scaling (RPi4B pinned)'!A11</f>
        <v>500</v>
      </c>
      <c r="B11" s="6" t="n">
        <f aca="false">'SMP Scaling (RPi4B pinned)'!B11</f>
        <v>3</v>
      </c>
      <c r="C11" s="5" t="n">
        <f aca="false">'SMP Scaling (RPi4B pinned)'!C11</f>
        <v>1399994.4</v>
      </c>
      <c r="D11" s="5" t="n">
        <f aca="false">'SMP Scaling (RPi4B cross-core)'!C11</f>
        <v>483345.3</v>
      </c>
      <c r="E11" s="8" t="n">
        <f aca="false">D11/C11</f>
        <v>0.345248023849238</v>
      </c>
      <c r="F11" s="17" t="n">
        <f aca="false">C11/D11</f>
        <v>2.89646842536795</v>
      </c>
      <c r="G11" s="8" t="n">
        <f aca="false">'SMP Scaling (RPi4B pinned)'!G11</f>
        <v>0.770568948005707</v>
      </c>
      <c r="H11" s="8" t="n">
        <f aca="false">'SMP Scaling (RPi4B cross-core)'!G11</f>
        <v>0.55938800147073</v>
      </c>
    </row>
    <row r="12" customFormat="false" ht="15" hidden="false" customHeight="false" outlineLevel="0" collapsed="false">
      <c r="A12" s="9" t="n">
        <f aca="false">'SMP Scaling (RPi4B pinned)'!A12</f>
        <v>500</v>
      </c>
      <c r="B12" s="10" t="n">
        <f aca="false">'SMP Scaling (RPi4B pinned)'!B12</f>
        <v>4</v>
      </c>
      <c r="C12" s="9" t="n">
        <f aca="false">'SMP Scaling (RPi4B pinned)'!C12</f>
        <v>1270686.9</v>
      </c>
      <c r="D12" s="9" t="n">
        <f aca="false">'SMP Scaling (RPi4B cross-core)'!C12</f>
        <v>494807</v>
      </c>
      <c r="E12" s="12" t="n">
        <f aca="false">D12/C12</f>
        <v>0.38940119710056</v>
      </c>
      <c r="F12" s="18" t="n">
        <f aca="false">C12/D12</f>
        <v>2.56804552077881</v>
      </c>
      <c r="G12" s="12" t="n">
        <f aca="false">'SMP Scaling (RPi4B pinned)'!G12</f>
        <v>0.52454774164327</v>
      </c>
      <c r="H12" s="12" t="n">
        <f aca="false">'SMP Scaling (RPi4B cross-core)'!G12</f>
        <v>0.429489692219611</v>
      </c>
    </row>
    <row r="13" customFormat="false" ht="15" hidden="false" customHeight="false" outlineLevel="0" collapsed="false">
      <c r="A13" s="5" t="n">
        <f aca="false">'SMP Scaling (RPi4B pinned)'!A13</f>
        <v>4000</v>
      </c>
      <c r="B13" s="6" t="n">
        <f aca="false">'SMP Scaling (RPi4B pinned)'!B13</f>
        <v>1</v>
      </c>
      <c r="C13" s="5" t="n">
        <f aca="false">'SMP Scaling (RPi4B pinned)'!C13</f>
        <v>158257.1</v>
      </c>
      <c r="D13" s="5" t="n">
        <f aca="false">'SMP Scaling (RPi4B cross-core)'!C13</f>
        <v>122910</v>
      </c>
      <c r="E13" s="8" t="n">
        <f aca="false">D13/C13</f>
        <v>0.776647619601269</v>
      </c>
      <c r="F13" s="17" t="n">
        <f aca="false">C13/D13</f>
        <v>1.28758522496135</v>
      </c>
      <c r="G13" s="8" t="n">
        <f aca="false">'SMP Scaling (RPi4B pinned)'!G13</f>
        <v>1</v>
      </c>
      <c r="H13" s="8" t="n">
        <f aca="false">'SMP Scaling (RPi4B cross-core)'!G13</f>
        <v>1</v>
      </c>
    </row>
    <row r="14" customFormat="false" ht="15" hidden="false" customHeight="false" outlineLevel="0" collapsed="false">
      <c r="A14" s="5" t="n">
        <f aca="false">'SMP Scaling (RPi4B pinned)'!A14</f>
        <v>4000</v>
      </c>
      <c r="B14" s="6" t="n">
        <f aca="false">'SMP Scaling (RPi4B pinned)'!B14</f>
        <v>2</v>
      </c>
      <c r="C14" s="5" t="n">
        <f aca="false">'SMP Scaling (RPi4B pinned)'!C14</f>
        <v>307927.7</v>
      </c>
      <c r="D14" s="5" t="n">
        <f aca="false">'SMP Scaling (RPi4B cross-core)'!C14</f>
        <v>232229.7</v>
      </c>
      <c r="E14" s="8" t="n">
        <f aca="false">D14/C14</f>
        <v>0.754169566427444</v>
      </c>
      <c r="F14" s="17" t="n">
        <f aca="false">C14/D14</f>
        <v>1.32596175252347</v>
      </c>
      <c r="G14" s="8" t="n">
        <f aca="false">'SMP Scaling (RPi4B pinned)'!G14</f>
        <v>0.97287167526765</v>
      </c>
      <c r="H14" s="8" t="n">
        <f aca="false">'SMP Scaling (RPi4B cross-core)'!G14</f>
        <v>0.944714425189163</v>
      </c>
    </row>
    <row r="15" customFormat="false" ht="15" hidden="false" customHeight="false" outlineLevel="0" collapsed="false">
      <c r="A15" s="5" t="n">
        <f aca="false">'SMP Scaling (RPi4B pinned)'!A15</f>
        <v>4000</v>
      </c>
      <c r="B15" s="6" t="n">
        <f aca="false">'SMP Scaling (RPi4B pinned)'!B15</f>
        <v>3</v>
      </c>
      <c r="C15" s="5" t="n">
        <f aca="false">'SMP Scaling (RPi4B pinned)'!C15</f>
        <v>461998</v>
      </c>
      <c r="D15" s="5" t="n">
        <f aca="false">'SMP Scaling (RPi4B cross-core)'!C15</f>
        <v>328648.7</v>
      </c>
      <c r="E15" s="8" t="n">
        <f aca="false">D15/C15</f>
        <v>0.711363902008234</v>
      </c>
      <c r="F15" s="17" t="n">
        <f aca="false">C15/D15</f>
        <v>1.40575027377257</v>
      </c>
      <c r="G15" s="8" t="n">
        <f aca="false">'SMP Scaling (RPi4B pinned)'!G15</f>
        <v>0.973095888483571</v>
      </c>
      <c r="H15" s="8" t="n">
        <f aca="false">'SMP Scaling (RPi4B cross-core)'!G15</f>
        <v>0.891299053507987</v>
      </c>
    </row>
    <row r="16" customFormat="false" ht="15" hidden="false" customHeight="false" outlineLevel="0" collapsed="false">
      <c r="A16" s="9" t="n">
        <f aca="false">'SMP Scaling (RPi4B pinned)'!A16</f>
        <v>4000</v>
      </c>
      <c r="B16" s="10" t="n">
        <f aca="false">'SMP Scaling (RPi4B pinned)'!B16</f>
        <v>4</v>
      </c>
      <c r="C16" s="9" t="n">
        <f aca="false">'SMP Scaling (RPi4B pinned)'!C16</f>
        <v>614832.4</v>
      </c>
      <c r="D16" s="9" t="n">
        <f aca="false">'SMP Scaling (RPi4B cross-core)'!C16</f>
        <v>410156.8</v>
      </c>
      <c r="E16" s="12" t="n">
        <f aca="false">D16/C16</f>
        <v>0.667103425258656</v>
      </c>
      <c r="F16" s="18" t="n">
        <f aca="false">C16/D16</f>
        <v>1.499017936555</v>
      </c>
      <c r="G16" s="12" t="n">
        <f aca="false">'SMP Scaling (RPi4B pinned)'!G16</f>
        <v>0.971255634028426</v>
      </c>
      <c r="H16" s="12" t="n">
        <f aca="false">'SMP Scaling (RPi4B cross-core)'!G16</f>
        <v>0.834262468472866</v>
      </c>
    </row>
    <row r="17" customFormat="false" ht="15" hidden="false" customHeight="false" outlineLevel="0" collapsed="false">
      <c r="A17" s="5" t="n">
        <f aca="false">'SMP Scaling (RPi4B pinned)'!A17</f>
        <v>32000</v>
      </c>
      <c r="B17" s="6" t="n">
        <f aca="false">'SMP Scaling (RPi4B pinned)'!B17</f>
        <v>1</v>
      </c>
      <c r="C17" s="5" t="n">
        <f aca="false">'SMP Scaling (RPi4B pinned)'!C17</f>
        <v>22909</v>
      </c>
      <c r="D17" s="5" t="n">
        <f aca="false">'SMP Scaling (RPi4B cross-core)'!C17</f>
        <v>21991.5</v>
      </c>
      <c r="E17" s="8" t="n">
        <f aca="false">D17/C17</f>
        <v>0.95995023789777</v>
      </c>
      <c r="F17" s="17" t="n">
        <f aca="false">C17/D17</f>
        <v>1.04172066480231</v>
      </c>
      <c r="G17" s="8" t="n">
        <f aca="false">'SMP Scaling (RPi4B pinned)'!G17</f>
        <v>1</v>
      </c>
      <c r="H17" s="8" t="n">
        <f aca="false">'SMP Scaling (RPi4B cross-core)'!G17</f>
        <v>1</v>
      </c>
    </row>
    <row r="18" customFormat="false" ht="15" hidden="false" customHeight="false" outlineLevel="0" collapsed="false">
      <c r="A18" s="5" t="n">
        <f aca="false">'SMP Scaling (RPi4B pinned)'!A18</f>
        <v>32000</v>
      </c>
      <c r="B18" s="6" t="n">
        <f aca="false">'SMP Scaling (RPi4B pinned)'!B18</f>
        <v>2</v>
      </c>
      <c r="C18" s="5" t="n">
        <f aca="false">'SMP Scaling (RPi4B pinned)'!C18</f>
        <v>45634.7</v>
      </c>
      <c r="D18" s="5" t="n">
        <f aca="false">'SMP Scaling (RPi4B cross-core)'!C18</f>
        <v>43853.7</v>
      </c>
      <c r="E18" s="8" t="n">
        <f aca="false">D18/C18</f>
        <v>0.960972680876614</v>
      </c>
      <c r="F18" s="17" t="n">
        <f aca="false">C18/D18</f>
        <v>1.04061230865355</v>
      </c>
      <c r="G18" s="8" t="n">
        <f aca="false">'SMP Scaling (RPi4B pinned)'!G18</f>
        <v>0.995999388886464</v>
      </c>
      <c r="H18" s="8" t="n">
        <f aca="false">'SMP Scaling (RPi4B cross-core)'!G18</f>
        <v>0.997060227815292</v>
      </c>
    </row>
    <row r="19" customFormat="false" ht="15" hidden="false" customHeight="false" outlineLevel="0" collapsed="false">
      <c r="A19" s="5" t="n">
        <f aca="false">'SMP Scaling (RPi4B pinned)'!A19</f>
        <v>32000</v>
      </c>
      <c r="B19" s="6" t="n">
        <f aca="false">'SMP Scaling (RPi4B pinned)'!B19</f>
        <v>3</v>
      </c>
      <c r="C19" s="5" t="n">
        <f aca="false">'SMP Scaling (RPi4B pinned)'!C19</f>
        <v>68456.3</v>
      </c>
      <c r="D19" s="5" t="n">
        <f aca="false">'SMP Scaling (RPi4B cross-core)'!C19</f>
        <v>64609</v>
      </c>
      <c r="E19" s="8" t="n">
        <f aca="false">D19/C19</f>
        <v>0.94379918283635</v>
      </c>
      <c r="F19" s="17" t="n">
        <f aca="false">C19/D19</f>
        <v>1.0595474314724</v>
      </c>
      <c r="G19" s="8" t="n">
        <f aca="false">'SMP Scaling (RPi4B pinned)'!G19</f>
        <v>0.996061227756195</v>
      </c>
      <c r="H19" s="8" t="n">
        <f aca="false">'SMP Scaling (RPi4B cross-core)'!G19</f>
        <v>0.979302609341488</v>
      </c>
    </row>
    <row r="20" customFormat="false" ht="15" hidden="false" customHeight="false" outlineLevel="0" collapsed="false">
      <c r="A20" s="9" t="n">
        <f aca="false">'SMP Scaling (RPi4B pinned)'!A20</f>
        <v>32000</v>
      </c>
      <c r="B20" s="10" t="n">
        <f aca="false">'SMP Scaling (RPi4B pinned)'!B20</f>
        <v>4</v>
      </c>
      <c r="C20" s="9" t="n">
        <f aca="false">'SMP Scaling (RPi4B pinned)'!C20</f>
        <v>91244.9</v>
      </c>
      <c r="D20" s="9" t="n">
        <f aca="false">'SMP Scaling (RPi4B cross-core)'!C20</f>
        <v>85638.5</v>
      </c>
      <c r="E20" s="12" t="n">
        <f aca="false">D20/C20</f>
        <v>0.938556565901218</v>
      </c>
      <c r="F20" s="18" t="n">
        <f aca="false">C20/D20</f>
        <v>1.06546588275133</v>
      </c>
      <c r="G20" s="12" t="n">
        <f aca="false">'SMP Scaling (RPi4B pinned)'!G20</f>
        <v>0.995732026714392</v>
      </c>
      <c r="H20" s="12" t="n">
        <f aca="false">'SMP Scaling (RPi4B cross-core)'!G20</f>
        <v>0.973540913534775</v>
      </c>
    </row>
    <row r="22" customFormat="false" ht="51.75" hidden="false" customHeight="true" outlineLevel="0" collapsed="false">
      <c r="A22" s="3" t="s">
        <v>29</v>
      </c>
      <c r="B22" s="3"/>
      <c r="C22" s="3"/>
      <c r="D22" s="3"/>
      <c r="E22" s="3"/>
      <c r="F22" s="3"/>
      <c r="G22" s="3"/>
      <c r="H22" s="3"/>
    </row>
    <row r="24" customFormat="false" ht="15" hidden="false" customHeight="false" outlineLevel="0" collapsed="false">
      <c r="A24" s="16" t="s">
        <v>30</v>
      </c>
    </row>
    <row r="25" customFormat="false" ht="15" hidden="false" customHeight="false" outlineLevel="0" collapsed="false">
      <c r="A25" s="19" t="s">
        <v>31</v>
      </c>
      <c r="C25" s="5" t="n">
        <v>1500000000</v>
      </c>
    </row>
    <row r="27" customFormat="false" ht="51.75" hidden="false" customHeight="true" outlineLevel="0" collapsed="false">
      <c r="A27" s="4" t="s">
        <v>2</v>
      </c>
      <c r="B27" s="4" t="s">
        <v>32</v>
      </c>
      <c r="C27" s="4" t="s">
        <v>33</v>
      </c>
      <c r="D27" s="4" t="s">
        <v>34</v>
      </c>
      <c r="E27" s="4" t="s">
        <v>35</v>
      </c>
      <c r="F27" s="4" t="s">
        <v>36</v>
      </c>
    </row>
    <row r="28" customFormat="false" ht="15" hidden="false" customHeight="false" outlineLevel="0" collapsed="false">
      <c r="A28" s="5" t="n">
        <v>0</v>
      </c>
      <c r="B28" s="5" t="n">
        <f aca="false">$C$25/C5</f>
        <v>1452.02551266907</v>
      </c>
      <c r="C28" s="5" t="n">
        <f aca="false">$C$25/D5</f>
        <v>4203.52574925745</v>
      </c>
      <c r="D28" s="5" t="n">
        <f aca="false">B28-2*A28</f>
        <v>1452.02551266907</v>
      </c>
      <c r="E28" s="5" t="n">
        <f aca="false">C28-2*A28</f>
        <v>4203.52574925745</v>
      </c>
      <c r="F28" s="5" t="n">
        <f aca="false">E28-D28</f>
        <v>2751.50023658838</v>
      </c>
    </row>
    <row r="29" customFormat="false" ht="15" hidden="false" customHeight="false" outlineLevel="0" collapsed="false">
      <c r="A29" s="5" t="n">
        <v>500</v>
      </c>
      <c r="B29" s="5" t="n">
        <f aca="false">$C$25/C9</f>
        <v>2476.83866880159</v>
      </c>
      <c r="C29" s="5" t="n">
        <f aca="false">$C$25/D9</f>
        <v>5207.96624404599</v>
      </c>
      <c r="D29" s="5" t="n">
        <f aca="false">B29-2*A29</f>
        <v>1476.83866880159</v>
      </c>
      <c r="E29" s="5" t="n">
        <f aca="false">C29-2*A29</f>
        <v>4207.96624404599</v>
      </c>
      <c r="F29" s="5" t="n">
        <f aca="false">E29-D29</f>
        <v>2731.1275752444</v>
      </c>
    </row>
    <row r="30" customFormat="false" ht="15" hidden="false" customHeight="false" outlineLevel="0" collapsed="false">
      <c r="A30" s="5" t="n">
        <v>4000</v>
      </c>
      <c r="B30" s="5" t="n">
        <f aca="false">$C$25/C13</f>
        <v>9478.24773738429</v>
      </c>
      <c r="C30" s="5" t="n">
        <f aca="false">$C$25/D13</f>
        <v>12204.0517451794</v>
      </c>
      <c r="D30" s="5" t="n">
        <f aca="false">B30-2*A30</f>
        <v>1478.24773738429</v>
      </c>
      <c r="E30" s="5" t="n">
        <f aca="false">C30-2*A30</f>
        <v>4204.0517451794</v>
      </c>
      <c r="F30" s="5" t="n">
        <f aca="false">E30-D30</f>
        <v>2725.80400779511</v>
      </c>
    </row>
    <row r="31" customFormat="false" ht="15" hidden="false" customHeight="false" outlineLevel="0" collapsed="false">
      <c r="A31" s="9" t="n">
        <v>32000</v>
      </c>
      <c r="B31" s="9" t="n">
        <f aca="false">$C$25/C17</f>
        <v>65476.4503033742</v>
      </c>
      <c r="C31" s="9" t="n">
        <f aca="false">$C$25/D17</f>
        <v>68208.1713389264</v>
      </c>
      <c r="D31" s="9" t="n">
        <f aca="false">B31-2*A31</f>
        <v>1476.45030337422</v>
      </c>
      <c r="E31" s="9" t="n">
        <f aca="false">C31-2*A31</f>
        <v>4208.1713389264</v>
      </c>
      <c r="F31" s="9" t="n">
        <f aca="false">E31-D31</f>
        <v>2731.72103555218</v>
      </c>
    </row>
    <row r="33" customFormat="false" ht="87.75" hidden="false" customHeight="true" outlineLevel="0" collapsed="false">
      <c r="A33" s="3" t="s">
        <v>37</v>
      </c>
      <c r="B33" s="3"/>
      <c r="C33" s="3"/>
      <c r="D33" s="3"/>
      <c r="E33" s="3"/>
      <c r="F33" s="3"/>
      <c r="G33" s="3"/>
      <c r="H33" s="3"/>
    </row>
  </sheetData>
  <mergeCells count="3">
    <mergeCell ref="A2:H2"/>
    <mergeCell ref="A22:H22"/>
    <mergeCell ref="A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5"/>
  </cols>
  <sheetData>
    <row r="1" customFormat="false" ht="15" hidden="false" customHeight="true" outlineLevel="0" collapsed="false">
      <c r="A1" s="2" t="s">
        <v>38</v>
      </c>
    </row>
    <row r="3" customFormat="false" ht="27.75" hidden="false" customHeight="true" outlineLevel="0" collapsed="false">
      <c r="A3" s="20" t="s">
        <v>39</v>
      </c>
      <c r="B3" s="21" t="s">
        <v>40</v>
      </c>
    </row>
    <row r="4" customFormat="false" ht="27.75" hidden="false" customHeight="true" outlineLevel="0" collapsed="false">
      <c r="A4" s="20" t="s">
        <v>41</v>
      </c>
      <c r="B4" s="21" t="s">
        <v>42</v>
      </c>
    </row>
    <row r="5" customFormat="false" ht="39" hidden="false" customHeight="true" outlineLevel="0" collapsed="false">
      <c r="A5" s="20" t="s">
        <v>43</v>
      </c>
      <c r="B5" s="21" t="s">
        <v>44</v>
      </c>
    </row>
    <row r="6" customFormat="false" ht="27.75" hidden="false" customHeight="true" outlineLevel="0" collapsed="false">
      <c r="A6" s="20" t="s">
        <v>45</v>
      </c>
      <c r="B6" s="21" t="s">
        <v>46</v>
      </c>
    </row>
    <row r="7" customFormat="false" ht="39" hidden="false" customHeight="true" outlineLevel="0" collapsed="false">
      <c r="A7" s="20" t="s">
        <v>47</v>
      </c>
      <c r="B7" s="21" t="s">
        <v>48</v>
      </c>
    </row>
    <row r="8" customFormat="false" ht="27.75" hidden="false" customHeight="true" outlineLevel="0" collapsed="false">
      <c r="A8" s="20" t="s">
        <v>49</v>
      </c>
      <c r="B8" s="21" t="s">
        <v>50</v>
      </c>
    </row>
    <row r="9" customFormat="false" ht="39" hidden="false" customHeight="true" outlineLevel="0" collapsed="false">
      <c r="A9" s="20" t="s">
        <v>51</v>
      </c>
      <c r="B9" s="21" t="s">
        <v>52</v>
      </c>
    </row>
    <row r="10" customFormat="false" ht="27.75" hidden="false" customHeight="true" outlineLevel="0" collapsed="false">
      <c r="A10" s="20" t="s">
        <v>53</v>
      </c>
      <c r="B10" s="21" t="s">
        <v>54</v>
      </c>
    </row>
    <row r="11" customFormat="false" ht="64.5" hidden="false" customHeight="true" outlineLevel="0" collapsed="false">
      <c r="A11" s="20" t="s">
        <v>55</v>
      </c>
      <c r="B11" s="21" t="s">
        <v>56</v>
      </c>
    </row>
    <row r="12" customFormat="false" ht="39" hidden="false" customHeight="true" outlineLevel="0" collapsed="false">
      <c r="A12" s="20" t="s">
        <v>57</v>
      </c>
      <c r="B12" s="21" t="s">
        <v>58</v>
      </c>
    </row>
    <row r="14" customFormat="false" ht="15" hidden="false" customHeight="true" outlineLevel="0" collapsed="false">
      <c r="A14" s="2" t="s">
        <v>59</v>
      </c>
    </row>
    <row r="16" customFormat="false" ht="15" hidden="false" customHeight="true" outlineLevel="0" collapsed="false">
      <c r="A16" s="22" t="s">
        <v>39</v>
      </c>
      <c r="B16" s="23" t="s">
        <v>60</v>
      </c>
    </row>
    <row r="17" customFormat="false" ht="15" hidden="false" customHeight="true" outlineLevel="0" collapsed="false">
      <c r="A17" s="22" t="s">
        <v>41</v>
      </c>
      <c r="B17" s="23" t="s">
        <v>61</v>
      </c>
    </row>
    <row r="18" customFormat="false" ht="34.5" hidden="false" customHeight="true" outlineLevel="0" collapsed="false">
      <c r="A18" s="22" t="s">
        <v>43</v>
      </c>
      <c r="B18" s="23" t="s">
        <v>62</v>
      </c>
    </row>
    <row r="19" customFormat="false" ht="15" hidden="false" customHeight="true" outlineLevel="0" collapsed="false">
      <c r="A19" s="22" t="s">
        <v>45</v>
      </c>
      <c r="B19" s="23" t="s">
        <v>63</v>
      </c>
    </row>
    <row r="20" customFormat="false" ht="23.25" hidden="false" customHeight="true" outlineLevel="0" collapsed="false">
      <c r="A20" s="22" t="s">
        <v>64</v>
      </c>
      <c r="B20" s="23" t="s">
        <v>65</v>
      </c>
    </row>
    <row r="21" customFormat="false" ht="23.25" hidden="false" customHeight="true" outlineLevel="0" collapsed="false">
      <c r="A21" s="22" t="s">
        <v>66</v>
      </c>
      <c r="B21" s="23" t="s">
        <v>67</v>
      </c>
    </row>
    <row r="22" customFormat="false" ht="34.5" hidden="false" customHeight="true" outlineLevel="0" collapsed="false">
      <c r="A22" s="22" t="s">
        <v>68</v>
      </c>
      <c r="B22" s="23" t="s">
        <v>69</v>
      </c>
    </row>
    <row r="23" customFormat="false" ht="15" hidden="false" customHeight="true" outlineLevel="0" collapsed="false">
      <c r="A23" s="22" t="s">
        <v>53</v>
      </c>
      <c r="B23" s="23" t="s">
        <v>70</v>
      </c>
    </row>
    <row r="24" customFormat="false" ht="23.25" hidden="false" customHeight="true" outlineLevel="0" collapsed="false">
      <c r="A24" s="22" t="s">
        <v>71</v>
      </c>
      <c r="B24" s="23" t="s">
        <v>72</v>
      </c>
    </row>
    <row r="25" customFormat="false" ht="34.5" hidden="false" customHeight="true" outlineLevel="0" collapsed="false">
      <c r="A25" s="22" t="s">
        <v>73</v>
      </c>
      <c r="B25" s="23" t="s">
        <v>74</v>
      </c>
    </row>
    <row r="26" customFormat="false" ht="23.25" hidden="false" customHeight="true" outlineLevel="0" collapsed="false">
      <c r="A26" s="22" t="s">
        <v>75</v>
      </c>
      <c r="B26" s="23" t="s">
        <v>76</v>
      </c>
    </row>
    <row r="27" customFormat="false" ht="23.25" hidden="false" customHeight="true" outlineLevel="0" collapsed="false">
      <c r="A27" s="22" t="s">
        <v>77</v>
      </c>
      <c r="B27" s="23" t="s">
        <v>78</v>
      </c>
    </row>
    <row r="28" customFormat="false" ht="23.25" hidden="false" customHeight="true" outlineLevel="0" collapsed="false">
      <c r="A28" s="22" t="s">
        <v>79</v>
      </c>
      <c r="B28" s="23" t="s">
        <v>80</v>
      </c>
    </row>
    <row r="30" customFormat="false" ht="15" hidden="false" customHeight="true" outlineLevel="0" collapsed="false">
      <c r="A30" s="2" t="s">
        <v>81</v>
      </c>
    </row>
    <row r="32" customFormat="false" ht="34.5" hidden="false" customHeight="true" outlineLevel="0" collapsed="false">
      <c r="A32" s="22" t="s">
        <v>82</v>
      </c>
      <c r="B32" s="21" t="s">
        <v>83</v>
      </c>
    </row>
    <row r="33" customFormat="false" ht="34.5" hidden="false" customHeight="true" outlineLevel="0" collapsed="false">
      <c r="A33" s="22" t="s">
        <v>84</v>
      </c>
      <c r="B33" s="21" t="s">
        <v>85</v>
      </c>
    </row>
    <row r="34" customFormat="false" ht="34.5" hidden="false" customHeight="true" outlineLevel="0" collapsed="false">
      <c r="A34" s="22" t="s">
        <v>86</v>
      </c>
      <c r="B34" s="21" t="s">
        <v>87</v>
      </c>
    </row>
    <row r="35" customFormat="false" ht="34.5" hidden="false" customHeight="true" outlineLevel="0" collapsed="false">
      <c r="A35" s="22" t="s">
        <v>88</v>
      </c>
      <c r="B35" s="21" t="s">
        <v>89</v>
      </c>
    </row>
    <row r="36" customFormat="false" ht="23.25" hidden="false" customHeight="true" outlineLevel="0" collapsed="false">
      <c r="A36" s="22" t="s">
        <v>90</v>
      </c>
      <c r="B36" s="21" t="s">
        <v>91</v>
      </c>
    </row>
    <row r="37" customFormat="false" ht="23.25" hidden="false" customHeight="true" outlineLevel="0" collapsed="false">
      <c r="A37" s="22" t="s">
        <v>92</v>
      </c>
      <c r="B37" s="21" t="s">
        <v>93</v>
      </c>
    </row>
    <row r="38" customFormat="false" ht="23.25" hidden="false" customHeight="true" outlineLevel="0" collapsed="false">
      <c r="A38" s="22" t="s">
        <v>94</v>
      </c>
      <c r="B38" s="21" t="s">
        <v>95</v>
      </c>
    </row>
    <row r="39" customFormat="false" ht="15" hidden="false" customHeight="true" outlineLevel="0" collapsed="false">
      <c r="A39" s="22" t="s">
        <v>96</v>
      </c>
      <c r="B39" s="21" t="s">
        <v>97</v>
      </c>
    </row>
    <row r="41" customFormat="false" ht="15" hidden="false" customHeight="false" outlineLevel="0" collapsed="false">
      <c r="A41" s="16" t="s">
        <v>98</v>
      </c>
    </row>
    <row r="43" customFormat="false" ht="46.25" hidden="false" customHeight="false" outlineLevel="0" collapsed="false">
      <c r="A43" s="19" t="s">
        <v>82</v>
      </c>
      <c r="B43" s="21" t="s">
        <v>99</v>
      </c>
    </row>
    <row r="44" customFormat="false" ht="23.85" hidden="false" customHeight="false" outlineLevel="0" collapsed="false">
      <c r="A44" s="19" t="s">
        <v>100</v>
      </c>
      <c r="B44" s="21" t="s">
        <v>101</v>
      </c>
    </row>
    <row r="45" customFormat="false" ht="35.05" hidden="false" customHeight="false" outlineLevel="0" collapsed="false">
      <c r="A45" s="19" t="s">
        <v>86</v>
      </c>
      <c r="B45" s="21" t="s">
        <v>102</v>
      </c>
    </row>
    <row r="46" customFormat="false" ht="35.05" hidden="false" customHeight="false" outlineLevel="0" collapsed="false">
      <c r="A46" s="19" t="s">
        <v>103</v>
      </c>
      <c r="B46" s="21" t="s">
        <v>104</v>
      </c>
    </row>
    <row r="47" customFormat="false" ht="35.05" hidden="false" customHeight="false" outlineLevel="0" collapsed="false">
      <c r="A47" s="19" t="s">
        <v>105</v>
      </c>
      <c r="B47" s="21" t="s">
        <v>106</v>
      </c>
    </row>
    <row r="48" customFormat="false" ht="23.85" hidden="false" customHeight="false" outlineLevel="0" collapsed="false">
      <c r="A48" s="19" t="s">
        <v>107</v>
      </c>
      <c r="B48" s="21" t="s">
        <v>108</v>
      </c>
    </row>
    <row r="49" customFormat="false" ht="35.05" hidden="false" customHeight="false" outlineLevel="0" collapsed="false">
      <c r="A49" s="19" t="s">
        <v>109</v>
      </c>
      <c r="B49" s="21"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2026-10-13T19:28:57Z</dcterms:created>
  <dc:creator>openpyxl</dc:creator>
  <dc:description/>
  <dc:language>en-US</dc:language>
  <cp:lastModifiedBy/>
  <dcterms:modified xsi:type="dcterms:W3CDTF">2026-10-22T03:08:51Z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